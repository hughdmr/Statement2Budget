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ues/Documents/Statement2Budget/data/template/"/>
    </mc:Choice>
  </mc:AlternateContent>
  <xr:revisionPtr revIDLastSave="0" documentId="13_ncr:1_{A1EAB781-D2A4-7747-A3F9-1FF0B2A49165}" xr6:coauthVersionLast="47" xr6:coauthVersionMax="47" xr10:uidLastSave="{00000000-0000-0000-0000-000000000000}"/>
  <bookViews>
    <workbookView xWindow="0" yWindow="760" windowWidth="29400" windowHeight="16980" activeTab="1" xr2:uid="{00000000-000D-0000-FFFF-FFFF00000000}"/>
  </bookViews>
  <sheets>
    <sheet name="Récapitulatif" sheetId="1" r:id="rId1"/>
    <sheet name="Transactions" sheetId="2" r:id="rId2"/>
  </sheets>
  <definedNames>
    <definedName name="StartingBalance">Récapitulatif!$L$8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K44" i="1"/>
  <c r="F44" i="1"/>
  <c r="E44" i="1"/>
  <c r="L41" i="1"/>
  <c r="K41" i="1"/>
  <c r="E41" i="1"/>
  <c r="F41" i="1" s="1"/>
  <c r="D41" i="1"/>
  <c r="L40" i="1"/>
  <c r="K40" i="1"/>
  <c r="E40" i="1"/>
  <c r="D40" i="1"/>
  <c r="L39" i="1"/>
  <c r="K39" i="1"/>
  <c r="E39" i="1"/>
  <c r="F39" i="1" s="1"/>
  <c r="L38" i="1"/>
  <c r="K38" i="1"/>
  <c r="E38" i="1"/>
  <c r="D38" i="1"/>
  <c r="L37" i="1"/>
  <c r="K37" i="1"/>
  <c r="E37" i="1"/>
  <c r="D37" i="1"/>
  <c r="L36" i="1"/>
  <c r="K36" i="1"/>
  <c r="E36" i="1"/>
  <c r="F36" i="1" s="1"/>
  <c r="L35" i="1"/>
  <c r="K35" i="1"/>
  <c r="E35" i="1"/>
  <c r="F35" i="1" s="1"/>
  <c r="K34" i="1"/>
  <c r="L34" i="1" s="1"/>
  <c r="E34" i="1"/>
  <c r="F34" i="1" s="1"/>
  <c r="K33" i="1"/>
  <c r="L33" i="1" s="1"/>
  <c r="E33" i="1"/>
  <c r="D33" i="1"/>
  <c r="F33" i="1" s="1"/>
  <c r="K32" i="1"/>
  <c r="L32" i="1" s="1"/>
  <c r="E32" i="1"/>
  <c r="F32" i="1" s="1"/>
  <c r="L31" i="1"/>
  <c r="K31" i="1"/>
  <c r="E31" i="1"/>
  <c r="F31" i="1" s="1"/>
  <c r="K30" i="1"/>
  <c r="L30" i="1" s="1"/>
  <c r="E30" i="1"/>
  <c r="D30" i="1"/>
  <c r="K29" i="1"/>
  <c r="L29" i="1" s="1"/>
  <c r="E29" i="1"/>
  <c r="D29" i="1"/>
  <c r="K28" i="1"/>
  <c r="L28" i="1" s="1"/>
  <c r="E28" i="1"/>
  <c r="E26" i="1" s="1"/>
  <c r="C22" i="1" s="1"/>
  <c r="D28" i="1"/>
  <c r="L27" i="1"/>
  <c r="K27" i="1"/>
  <c r="F27" i="1"/>
  <c r="E27" i="1"/>
  <c r="J26" i="1"/>
  <c r="I21" i="1" s="1"/>
  <c r="J22" i="1"/>
  <c r="D22" i="1"/>
  <c r="J21" i="1"/>
  <c r="D21" i="1"/>
  <c r="D17" i="1"/>
  <c r="I16" i="1"/>
  <c r="E12" i="1"/>
  <c r="D12" i="1"/>
  <c r="F28" i="1" l="1"/>
  <c r="F38" i="1"/>
  <c r="F30" i="1"/>
  <c r="F37" i="1"/>
  <c r="F40" i="1"/>
  <c r="F29" i="1"/>
  <c r="K26" i="1"/>
  <c r="I22" i="1" s="1"/>
  <c r="E17" i="1" s="1"/>
  <c r="L26" i="1"/>
  <c r="D26" i="1"/>
  <c r="C21" i="1" s="1"/>
  <c r="I15" i="1" l="1"/>
  <c r="I13" i="1"/>
  <c r="I14" i="1" s="1"/>
  <c r="F26" i="1"/>
</calcChain>
</file>

<file path=xl/sharedStrings.xml><?xml version="1.0" encoding="utf-8"?>
<sst xmlns="http://schemas.openxmlformats.org/spreadsheetml/2006/main" count="58" uniqueCount="42">
  <si>
    <t>PREMIERS PAS</t>
  </si>
  <si>
    <t>REMARQUE</t>
  </si>
  <si>
    <t>Définissez votre solde de départ dans la cellule L8, personnalisez les catégories, puis saisissez le montant des recettes et dépenses prévues dans les tableaux "Revenus" et "Dépenses" ci-dessous.</t>
  </si>
  <si>
    <t>Ne modifiez que les cellules ayant une couleur de remplissage.</t>
  </si>
  <si>
    <t xml:space="preserve">Essayez de ne pas modifier les cellules contenant une formule. </t>
  </si>
  <si>
    <t>Lorsque vous saisissez des données dans la feuille "Transactions", cette feuille est mise à jour automatiquement de manière à présenter un récapitulatif de vos dépenses du mois.</t>
  </si>
  <si>
    <t xml:space="preserve">Budget Eté </t>
  </si>
  <si>
    <t xml:space="preserve">Solde de départ : </t>
  </si>
  <si>
    <t xml:space="preserve">SOLDE DE DÉPART </t>
  </si>
  <si>
    <t xml:space="preserve"> SOLDE FINAL</t>
  </si>
  <si>
    <t>Dépenses</t>
  </si>
  <si>
    <t>Revenus</t>
  </si>
  <si>
    <t>Prévues</t>
  </si>
  <si>
    <t>Prévus</t>
  </si>
  <si>
    <t>Réelles</t>
  </si>
  <si>
    <t>Réels</t>
  </si>
  <si>
    <t>Diff.</t>
  </si>
  <si>
    <t>Totaux</t>
  </si>
  <si>
    <t>Alimentation</t>
  </si>
  <si>
    <t>Épargne</t>
  </si>
  <si>
    <t>Cadeaux</t>
  </si>
  <si>
    <t>Salaire</t>
  </si>
  <si>
    <t>Santé/médecine</t>
  </si>
  <si>
    <t>Bonus</t>
  </si>
  <si>
    <t>Habitation</t>
  </si>
  <si>
    <t>Intérêts</t>
  </si>
  <si>
    <t>Transports</t>
  </si>
  <si>
    <t>Autres</t>
  </si>
  <si>
    <t>Dépenses personnelles</t>
  </si>
  <si>
    <t>Remboursements</t>
  </si>
  <si>
    <t>Animaux de compagnie</t>
  </si>
  <si>
    <t>Maman</t>
  </si>
  <si>
    <t>Électricité, eau, gaz...</t>
  </si>
  <si>
    <t>Voyage</t>
  </si>
  <si>
    <t>Avec Adèle</t>
  </si>
  <si>
    <t>Restaurants</t>
  </si>
  <si>
    <t>Bars</t>
  </si>
  <si>
    <t>Pour modifier ou ajouter des catégories, modifiez les tableaux "Dépenses" et "Revenus" de la feuille "Récapitulatif".</t>
  </si>
  <si>
    <t>Date</t>
  </si>
  <si>
    <t>Montant</t>
  </si>
  <si>
    <t>Description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</si>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</sst>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[$€-1]"/>
    <numFmt numFmtId="165" formatCode="#,##0\ [$€]"/>
    <numFmt numFmtId="166" formatCode="mmmm&quot; &quot;yyyy"/>
    <numFmt numFmtId="167" formatCode="&quot;$&quot;#,##0"/>
    <numFmt numFmtId="168" formatCode="\+0\ %"/>
    <numFmt numFmtId="169" formatCode="[$€]#,##0"/>
    <numFmt numFmtId="170" formatCode="\+\$#,###;\-\$#,###;\$0"/>
  </numFmts>
  <fonts count="48">
    <font>
      <sz val="10"/>
      <color rgb="FF000000"/>
      <name val="Arial"/>
    </font>
    <font>
      <sz val="10"/>
      <name val="Lato"/>
    </font>
    <font>
      <sz val="9"/>
      <color rgb="FFFFFFFF"/>
      <name val="Lato"/>
    </font>
    <font>
      <b/>
      <sz val="9"/>
      <color rgb="FFFFFFFF"/>
      <name val="Lato"/>
    </font>
    <font>
      <sz val="9"/>
      <color rgb="FFCCCCCC"/>
      <name val="Lato"/>
    </font>
    <font>
      <sz val="10"/>
      <color rgb="FFCCCCCC"/>
      <name val="Lato"/>
    </font>
    <font>
      <i/>
      <sz val="10"/>
      <color rgb="FF334960"/>
      <name val="Lato"/>
    </font>
    <font>
      <i/>
      <sz val="10"/>
      <color rgb="FFCCCCCC"/>
      <name val="Lato"/>
    </font>
    <font>
      <sz val="10"/>
      <name val="Lato"/>
    </font>
    <font>
      <sz val="10"/>
      <color rgb="FF334960"/>
      <name val="Lato"/>
    </font>
    <font>
      <sz val="10"/>
      <color rgb="FFF46524"/>
      <name val="Lato"/>
    </font>
    <font>
      <b/>
      <sz val="25"/>
      <color rgb="FFF46524"/>
      <name val="Raleway"/>
    </font>
    <font>
      <sz val="10"/>
      <color rgb="FF334960"/>
      <name val="Lato"/>
    </font>
    <font>
      <b/>
      <sz val="10"/>
      <color rgb="FF334960"/>
      <name val="Lato"/>
    </font>
    <font>
      <b/>
      <sz val="25"/>
      <color rgb="FF334960"/>
      <name val="Lato"/>
    </font>
    <font>
      <b/>
      <sz val="10"/>
      <name val="Lato"/>
    </font>
    <font>
      <sz val="10"/>
      <name val="Arial"/>
      <family val="2"/>
    </font>
    <font>
      <sz val="24"/>
      <color rgb="FF334960"/>
      <name val="Lato"/>
    </font>
    <font>
      <b/>
      <sz val="24"/>
      <color rgb="FF334960"/>
      <name val="Lato"/>
    </font>
    <font>
      <i/>
      <sz val="10"/>
      <color rgb="FF576475"/>
      <name val="Lato"/>
    </font>
    <font>
      <b/>
      <sz val="10"/>
      <name val="Lato"/>
    </font>
    <font>
      <b/>
      <sz val="14"/>
      <color rgb="FF334960"/>
      <name val="Lato"/>
    </font>
    <font>
      <b/>
      <sz val="14"/>
      <color rgb="FFF46524"/>
      <name val="Lato"/>
    </font>
    <font>
      <i/>
      <sz val="10"/>
      <color rgb="FFF46524"/>
      <name val="Lato"/>
    </font>
    <font>
      <sz val="14"/>
      <name val="Lato"/>
    </font>
    <font>
      <sz val="10"/>
      <color rgb="FF576475"/>
      <name val="Lato"/>
    </font>
    <font>
      <b/>
      <sz val="10"/>
      <color rgb="FF576475"/>
      <name val="Lato"/>
    </font>
    <font>
      <b/>
      <sz val="10"/>
      <color rgb="FF334960"/>
      <name val="Lato"/>
    </font>
    <font>
      <b/>
      <sz val="10"/>
      <color rgb="FF666666"/>
      <name val="Lato"/>
    </font>
    <font>
      <sz val="10"/>
      <color rgb="FF666666"/>
      <name val="Lato"/>
    </font>
    <font>
      <b/>
      <sz val="10"/>
      <color rgb="FFF46524"/>
      <name val="Lato"/>
    </font>
    <font>
      <b/>
      <sz val="17"/>
      <color rgb="FFF46524"/>
      <name val="Raleway"/>
    </font>
    <font>
      <b/>
      <sz val="18"/>
      <color rgb="FFF46524"/>
      <name val="Raleway"/>
    </font>
    <font>
      <b/>
      <sz val="18"/>
      <color rgb="FFF46524"/>
      <name val="Lato"/>
    </font>
    <font>
      <b/>
      <sz val="11"/>
      <color rgb="FF334960"/>
      <name val="Lato"/>
    </font>
    <font>
      <b/>
      <sz val="17"/>
      <color rgb="FF334960"/>
      <name val="Lato"/>
    </font>
    <font>
      <b/>
      <sz val="18"/>
      <color rgb="FF334960"/>
      <name val="Lato"/>
    </font>
    <font>
      <sz val="18"/>
      <color rgb="FF334960"/>
      <name val="Lato"/>
    </font>
    <font>
      <i/>
      <sz val="9"/>
      <color rgb="FF687887"/>
      <name val="Lato"/>
    </font>
    <font>
      <b/>
      <sz val="10"/>
      <color rgb="FF434343"/>
      <name val="Lato"/>
    </font>
    <font>
      <sz val="10"/>
      <color rgb="FF434343"/>
      <name val="Lato"/>
    </font>
    <font>
      <sz val="10"/>
      <color rgb="FF687887"/>
      <name val="Lato"/>
    </font>
    <font>
      <b/>
      <sz val="10"/>
      <color rgb="FF434343"/>
      <name val="Lato"/>
    </font>
    <font>
      <sz val="10"/>
      <color rgb="FF434343"/>
      <name val="Lato"/>
    </font>
    <font>
      <i/>
      <sz val="10"/>
      <color rgb="FF708090"/>
      <name val="Lato"/>
    </font>
    <font>
      <sz val="8"/>
      <color rgb="FF000000"/>
      <name val="&quot;Helvetica Neue&quot;"/>
    </font>
    <font>
      <sz val="10"/>
      <color rgb="FF000000"/>
      <name val="Arial"/>
      <family val="2"/>
    </font>
    <font>
      <sz val="10"/>
      <color rgb="FF556376"/>
      <name val="Lato"/>
    </font>
  </fonts>
  <fills count="6">
    <fill>
      <patternFill patternType="none"/>
    </fill>
    <fill>
      <patternFill patternType="gray125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dotted">
        <color rgb="FFB7B7B7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dotted">
        <color rgb="FFB7B7B7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A7B0BF"/>
      </top>
      <bottom/>
      <diagonal/>
    </border>
    <border>
      <left/>
      <right/>
      <top/>
      <bottom style="thin">
        <color rgb="FFA7B0B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left" wrapText="1"/>
    </xf>
    <xf numFmtId="0" fontId="8" fillId="2" borderId="0" xfId="0" applyFont="1" applyFill="1"/>
    <xf numFmtId="164" fontId="8" fillId="2" borderId="0" xfId="0" applyNumberFormat="1" applyFont="1" applyFill="1"/>
    <xf numFmtId="0" fontId="1" fillId="0" borderId="0" xfId="0" applyFont="1"/>
    <xf numFmtId="0" fontId="8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164" fontId="9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8" fillId="0" borderId="0" xfId="0" applyFont="1"/>
    <xf numFmtId="165" fontId="12" fillId="3" borderId="0" xfId="0" applyNumberFormat="1" applyFont="1" applyFill="1" applyAlignment="1">
      <alignment vertical="center"/>
    </xf>
    <xf numFmtId="0" fontId="6" fillId="0" borderId="0" xfId="0" applyFont="1" applyAlignment="1">
      <alignment vertical="top"/>
    </xf>
    <xf numFmtId="166" fontId="14" fillId="4" borderId="0" xfId="0" applyNumberFormat="1" applyFont="1" applyFill="1" applyAlignment="1">
      <alignment horizontal="left" vertical="top"/>
    </xf>
    <xf numFmtId="164" fontId="14" fillId="4" borderId="0" xfId="0" applyNumberFormat="1" applyFont="1" applyFill="1" applyAlignment="1">
      <alignment horizontal="left" vertical="top"/>
    </xf>
    <xf numFmtId="0" fontId="15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8" fillId="5" borderId="1" xfId="0" applyFont="1" applyFill="1" applyBorder="1"/>
    <xf numFmtId="0" fontId="8" fillId="5" borderId="2" xfId="0" applyFont="1" applyFill="1" applyBorder="1"/>
    <xf numFmtId="164" fontId="8" fillId="5" borderId="2" xfId="0" applyNumberFormat="1" applyFont="1" applyFill="1" applyBorder="1"/>
    <xf numFmtId="0" fontId="1" fillId="5" borderId="3" xfId="0" applyFont="1" applyFill="1" applyBorder="1"/>
    <xf numFmtId="0" fontId="8" fillId="5" borderId="5" xfId="0" applyFont="1" applyFill="1" applyBorder="1"/>
    <xf numFmtId="0" fontId="8" fillId="5" borderId="0" xfId="0" applyFont="1" applyFill="1"/>
    <xf numFmtId="164" fontId="8" fillId="5" borderId="0" xfId="0" applyNumberFormat="1" applyFont="1" applyFill="1"/>
    <xf numFmtId="0" fontId="8" fillId="5" borderId="6" xfId="0" applyFont="1" applyFill="1" applyBorder="1"/>
    <xf numFmtId="167" fontId="1" fillId="0" borderId="0" xfId="0" applyNumberFormat="1" applyFont="1"/>
    <xf numFmtId="0" fontId="18" fillId="0" borderId="0" xfId="0" applyFont="1" applyAlignment="1">
      <alignment horizontal="left"/>
    </xf>
    <xf numFmtId="9" fontId="18" fillId="0" borderId="0" xfId="0" applyNumberFormat="1" applyFont="1" applyAlignment="1">
      <alignment horizontal="left"/>
    </xf>
    <xf numFmtId="0" fontId="20" fillId="0" borderId="0" xfId="0" applyFont="1"/>
    <xf numFmtId="0" fontId="21" fillId="0" borderId="4" xfId="0" applyFont="1" applyBorder="1" applyAlignment="1">
      <alignment horizontal="right"/>
    </xf>
    <xf numFmtId="164" fontId="22" fillId="0" borderId="0" xfId="0" applyNumberFormat="1" applyFont="1" applyAlignment="1">
      <alignment horizontal="left"/>
    </xf>
    <xf numFmtId="167" fontId="15" fillId="0" borderId="0" xfId="0" applyNumberFormat="1" applyFont="1"/>
    <xf numFmtId="0" fontId="19" fillId="0" borderId="0" xfId="0" applyFont="1" applyAlignment="1">
      <alignment horizontal="left" vertical="top"/>
    </xf>
    <xf numFmtId="165" fontId="19" fillId="0" borderId="4" xfId="0" applyNumberFormat="1" applyFont="1" applyBorder="1" applyAlignment="1">
      <alignment horizontal="center" vertical="top"/>
    </xf>
    <xf numFmtId="164" fontId="23" fillId="0" borderId="0" xfId="0" applyNumberFormat="1" applyFont="1" applyAlignment="1">
      <alignment horizontal="center" vertical="top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5" borderId="8" xfId="0" applyFont="1" applyFill="1" applyBorder="1"/>
    <xf numFmtId="0" fontId="8" fillId="5" borderId="9" xfId="0" applyFont="1" applyFill="1" applyBorder="1"/>
    <xf numFmtId="0" fontId="8" fillId="5" borderId="9" xfId="0" applyFont="1" applyFill="1" applyBorder="1" applyAlignment="1">
      <alignment vertical="top"/>
    </xf>
    <xf numFmtId="164" fontId="8" fillId="5" borderId="9" xfId="0" applyNumberFormat="1" applyFont="1" applyFill="1" applyBorder="1"/>
    <xf numFmtId="0" fontId="8" fillId="5" borderId="10" xfId="0" applyFont="1" applyFill="1" applyBorder="1"/>
    <xf numFmtId="164" fontId="8" fillId="0" borderId="0" xfId="0" applyNumberFormat="1" applyFont="1"/>
    <xf numFmtId="0" fontId="24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164" fontId="24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65" fontId="25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/>
    </xf>
    <xf numFmtId="167" fontId="29" fillId="0" borderId="0" xfId="0" applyNumberFormat="1" applyFont="1" applyAlignment="1">
      <alignment horizontal="right"/>
    </xf>
    <xf numFmtId="0" fontId="30" fillId="0" borderId="0" xfId="0" applyFont="1" applyAlignment="1">
      <alignment vertical="top"/>
    </xf>
    <xf numFmtId="0" fontId="20" fillId="0" borderId="0" xfId="0" applyFont="1" applyAlignment="1">
      <alignment vertical="top"/>
    </xf>
    <xf numFmtId="164" fontId="20" fillId="0" borderId="0" xfId="0" applyNumberFormat="1" applyFont="1" applyAlignment="1">
      <alignment vertical="top"/>
    </xf>
    <xf numFmtId="0" fontId="30" fillId="0" borderId="0" xfId="0" applyFont="1" applyAlignment="1">
      <alignment horizontal="right" vertical="top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9" fillId="0" borderId="11" xfId="0" applyFont="1" applyBorder="1"/>
    <xf numFmtId="0" fontId="34" fillId="0" borderId="12" xfId="0" applyFont="1" applyBorder="1" applyAlignment="1">
      <alignment horizontal="right"/>
    </xf>
    <xf numFmtId="0" fontId="35" fillId="0" borderId="12" xfId="0" applyFont="1" applyBorder="1" applyAlignment="1">
      <alignment horizontal="left"/>
    </xf>
    <xf numFmtId="164" fontId="34" fillId="0" borderId="12" xfId="0" applyNumberFormat="1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36" fillId="0" borderId="12" xfId="0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8" fillId="0" borderId="0" xfId="0" applyFont="1" applyAlignment="1">
      <alignment vertical="top"/>
    </xf>
    <xf numFmtId="0" fontId="38" fillId="0" borderId="13" xfId="0" applyFont="1" applyBorder="1" applyAlignment="1">
      <alignment vertical="top"/>
    </xf>
    <xf numFmtId="165" fontId="38" fillId="0" borderId="13" xfId="0" applyNumberFormat="1" applyFont="1" applyBorder="1" applyAlignment="1">
      <alignment horizontal="right" vertical="top"/>
    </xf>
    <xf numFmtId="164" fontId="38" fillId="0" borderId="13" xfId="0" applyNumberFormat="1" applyFont="1" applyBorder="1" applyAlignment="1">
      <alignment horizontal="right" vertical="top"/>
    </xf>
    <xf numFmtId="0" fontId="38" fillId="0" borderId="0" xfId="0" applyFont="1" applyAlignment="1">
      <alignment horizontal="right" vertical="top"/>
    </xf>
    <xf numFmtId="0" fontId="38" fillId="0" borderId="13" xfId="0" applyFont="1" applyBorder="1" applyAlignment="1">
      <alignment horizontal="left" vertical="top"/>
    </xf>
    <xf numFmtId="0" fontId="38" fillId="0" borderId="13" xfId="0" applyFont="1" applyBorder="1" applyAlignment="1">
      <alignment horizontal="right" vertical="top"/>
    </xf>
    <xf numFmtId="0" fontId="9" fillId="0" borderId="0" xfId="0" applyFont="1" applyAlignment="1">
      <alignment vertical="center"/>
    </xf>
    <xf numFmtId="169" fontId="40" fillId="0" borderId="16" xfId="0" applyNumberFormat="1" applyFont="1" applyBorder="1" applyAlignment="1">
      <alignment horizontal="right" vertical="center"/>
    </xf>
    <xf numFmtId="164" fontId="40" fillId="0" borderId="0" xfId="0" applyNumberFormat="1" applyFont="1" applyAlignment="1">
      <alignment horizontal="right" vertical="center"/>
    </xf>
    <xf numFmtId="169" fontId="40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40" fillId="0" borderId="19" xfId="0" applyNumberFormat="1" applyFont="1" applyBorder="1" applyAlignment="1">
      <alignment horizontal="right" vertical="center"/>
    </xf>
    <xf numFmtId="165" fontId="40" fillId="0" borderId="0" xfId="0" applyNumberFormat="1" applyFont="1" applyAlignment="1">
      <alignment horizontal="right" vertical="center"/>
    </xf>
    <xf numFmtId="165" fontId="40" fillId="0" borderId="22" xfId="0" applyNumberFormat="1" applyFont="1" applyBorder="1" applyAlignment="1">
      <alignment horizontal="right" vertical="center"/>
    </xf>
    <xf numFmtId="165" fontId="4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5" fontId="40" fillId="0" borderId="22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right" vertical="center"/>
    </xf>
    <xf numFmtId="170" fontId="41" fillId="0" borderId="0" xfId="0" applyNumberFormat="1" applyFont="1" applyAlignment="1">
      <alignment horizontal="right" vertical="center"/>
    </xf>
    <xf numFmtId="167" fontId="43" fillId="0" borderId="22" xfId="0" applyNumberFormat="1" applyFont="1" applyBorder="1"/>
    <xf numFmtId="165" fontId="40" fillId="0" borderId="22" xfId="0" applyNumberFormat="1" applyFont="1" applyBorder="1" applyAlignment="1">
      <alignment horizontal="right"/>
    </xf>
    <xf numFmtId="167" fontId="39" fillId="0" borderId="22" xfId="0" applyNumberFormat="1" applyFont="1" applyBorder="1" applyAlignment="1">
      <alignment vertical="center"/>
    </xf>
    <xf numFmtId="167" fontId="40" fillId="0" borderId="22" xfId="0" applyNumberFormat="1" applyFont="1" applyBorder="1" applyAlignment="1">
      <alignment horizontal="right"/>
    </xf>
    <xf numFmtId="0" fontId="42" fillId="0" borderId="22" xfId="0" applyFont="1" applyBorder="1"/>
    <xf numFmtId="167" fontId="40" fillId="0" borderId="22" xfId="0" applyNumberFormat="1" applyFont="1" applyBorder="1" applyAlignment="1">
      <alignment horizontal="right" vertical="center"/>
    </xf>
    <xf numFmtId="0" fontId="44" fillId="2" borderId="0" xfId="0" applyFont="1" applyFill="1" applyAlignment="1">
      <alignment vertical="center"/>
    </xf>
    <xf numFmtId="0" fontId="10" fillId="0" borderId="0" xfId="0" applyFont="1"/>
    <xf numFmtId="0" fontId="32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32" fillId="0" borderId="0" xfId="0" applyFont="1" applyAlignment="1">
      <alignment horizontal="left"/>
    </xf>
    <xf numFmtId="164" fontId="10" fillId="0" borderId="0" xfId="0" applyNumberFormat="1" applyFont="1"/>
    <xf numFmtId="0" fontId="1" fillId="0" borderId="23" xfId="0" applyFont="1" applyBorder="1" applyAlignment="1">
      <alignment horizontal="right"/>
    </xf>
    <xf numFmtId="164" fontId="1" fillId="0" borderId="23" xfId="0" applyNumberFormat="1" applyFont="1" applyBorder="1" applyAlignment="1">
      <alignment horizontal="right"/>
    </xf>
    <xf numFmtId="0" fontId="1" fillId="0" borderId="23" xfId="0" applyFont="1" applyBorder="1"/>
    <xf numFmtId="164" fontId="1" fillId="0" borderId="23" xfId="0" applyNumberFormat="1" applyFont="1" applyBorder="1"/>
    <xf numFmtId="0" fontId="45" fillId="0" borderId="24" xfId="0" applyFont="1" applyBorder="1" applyAlignment="1">
      <alignment vertical="top"/>
    </xf>
    <xf numFmtId="164" fontId="45" fillId="0" borderId="24" xfId="0" applyNumberFormat="1" applyFont="1" applyBorder="1" applyAlignment="1">
      <alignment vertical="top"/>
    </xf>
    <xf numFmtId="0" fontId="46" fillId="0" borderId="24" xfId="0" applyFont="1" applyBorder="1" applyAlignment="1">
      <alignment vertical="top"/>
    </xf>
    <xf numFmtId="14" fontId="45" fillId="0" borderId="24" xfId="0" applyNumberFormat="1" applyFont="1" applyBorder="1" applyAlignment="1">
      <alignment vertical="top"/>
    </xf>
    <xf numFmtId="14" fontId="46" fillId="0" borderId="24" xfId="0" applyNumberFormat="1" applyFont="1" applyBorder="1" applyAlignment="1">
      <alignment vertical="top"/>
    </xf>
    <xf numFmtId="164" fontId="46" fillId="0" borderId="24" xfId="0" applyNumberFormat="1" applyFont="1" applyBorder="1" applyAlignment="1">
      <alignment vertical="top"/>
    </xf>
    <xf numFmtId="14" fontId="41" fillId="0" borderId="0" xfId="0" applyNumberFormat="1" applyFont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0" fontId="47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14" fontId="41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1" fillId="4" borderId="0" xfId="0" applyFont="1" applyFill="1" applyAlignment="1">
      <alignment horizontal="left" vertical="top"/>
    </xf>
    <xf numFmtId="167" fontId="1" fillId="0" borderId="4" xfId="0" applyNumberFormat="1" applyFont="1" applyBorder="1"/>
    <xf numFmtId="0" fontId="16" fillId="0" borderId="4" xfId="0" applyFont="1" applyBorder="1"/>
    <xf numFmtId="164" fontId="1" fillId="0" borderId="0" xfId="0" applyNumberFormat="1" applyFont="1"/>
    <xf numFmtId="168" fontId="17" fillId="5" borderId="0" xfId="0" applyNumberFormat="1" applyFont="1" applyFill="1" applyAlignment="1">
      <alignment horizontal="center"/>
    </xf>
    <xf numFmtId="0" fontId="19" fillId="5" borderId="7" xfId="0" applyFont="1" applyFill="1" applyBorder="1" applyAlignment="1">
      <alignment horizontal="center" vertical="top"/>
    </xf>
    <xf numFmtId="0" fontId="16" fillId="0" borderId="7" xfId="0" applyFont="1" applyBorder="1"/>
    <xf numFmtId="165" fontId="17" fillId="5" borderId="0" xfId="0" applyNumberFormat="1" applyFont="1" applyFill="1" applyAlignment="1">
      <alignment horizontal="center"/>
    </xf>
    <xf numFmtId="9" fontId="19" fillId="5" borderId="0" xfId="0" applyNumberFormat="1" applyFont="1" applyFill="1" applyAlignment="1">
      <alignment horizontal="center" vertical="top"/>
    </xf>
    <xf numFmtId="0" fontId="8" fillId="5" borderId="0" xfId="0" applyFont="1" applyFill="1"/>
    <xf numFmtId="0" fontId="21" fillId="0" borderId="0" xfId="0" applyFont="1" applyAlignment="1">
      <alignment horizontal="left" vertical="center"/>
    </xf>
    <xf numFmtId="0" fontId="25" fillId="4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" fillId="4" borderId="0" xfId="0" applyFont="1" applyFill="1"/>
    <xf numFmtId="0" fontId="31" fillId="0" borderId="0" xfId="0" applyFont="1" applyAlignment="1">
      <alignment horizontal="left" vertical="top"/>
    </xf>
    <xf numFmtId="167" fontId="39" fillId="0" borderId="14" xfId="0" applyNumberFormat="1" applyFont="1" applyBorder="1" applyAlignment="1">
      <alignment vertical="center"/>
    </xf>
    <xf numFmtId="0" fontId="16" fillId="0" borderId="15" xfId="0" applyFont="1" applyBorder="1"/>
    <xf numFmtId="167" fontId="39" fillId="0" borderId="17" xfId="0" applyNumberFormat="1" applyFont="1" applyBorder="1" applyAlignment="1">
      <alignment vertical="center"/>
    </xf>
    <xf numFmtId="0" fontId="16" fillId="0" borderId="18" xfId="0" applyFont="1" applyBorder="1"/>
    <xf numFmtId="167" fontId="39" fillId="0" borderId="20" xfId="0" applyNumberFormat="1" applyFont="1" applyBorder="1" applyAlignment="1">
      <alignment vertical="center"/>
    </xf>
    <xf numFmtId="0" fontId="16" fillId="0" borderId="21" xfId="0" applyFont="1" applyBorder="1"/>
    <xf numFmtId="0" fontId="42" fillId="0" borderId="20" xfId="0" applyFont="1" applyBorder="1"/>
    <xf numFmtId="0" fontId="7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5"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4"/>
  <sheetViews>
    <sheetView showGridLines="0" workbookViewId="0"/>
  </sheetViews>
  <sheetFormatPr baseColWidth="10" defaultColWidth="12.6640625" defaultRowHeight="15.75" customHeight="1"/>
  <cols>
    <col min="1" max="1" width="6.1640625" customWidth="1"/>
    <col min="2" max="12" width="10.6640625" customWidth="1"/>
    <col min="13" max="13" width="6.1640625" customWidth="1"/>
  </cols>
  <sheetData>
    <row r="1" spans="1:13" ht="12" customHeight="1">
      <c r="A1" s="1"/>
      <c r="B1" s="1"/>
      <c r="C1" s="1"/>
      <c r="D1" s="1"/>
      <c r="E1" s="2"/>
      <c r="F1" s="1"/>
      <c r="G1" s="3"/>
      <c r="H1" s="1"/>
      <c r="I1" s="1"/>
      <c r="J1" s="1"/>
      <c r="K1" s="2"/>
      <c r="L1" s="1"/>
      <c r="M1" s="1"/>
    </row>
    <row r="2" spans="1:13" ht="21" customHeight="1">
      <c r="A2" s="4"/>
      <c r="B2" s="128" t="s">
        <v>0</v>
      </c>
      <c r="C2" s="129"/>
      <c r="D2" s="129"/>
      <c r="E2" s="129"/>
      <c r="F2" s="129"/>
      <c r="G2" s="129"/>
      <c r="H2" s="129"/>
      <c r="I2" s="130" t="s">
        <v>1</v>
      </c>
      <c r="J2" s="129"/>
      <c r="K2" s="129"/>
      <c r="L2" s="129"/>
      <c r="M2" s="4"/>
    </row>
    <row r="3" spans="1:13" ht="16.5" customHeight="1">
      <c r="A3" s="5"/>
      <c r="B3" s="131" t="s">
        <v>2</v>
      </c>
      <c r="C3" s="129"/>
      <c r="D3" s="129"/>
      <c r="E3" s="129"/>
      <c r="F3" s="129"/>
      <c r="G3" s="129"/>
      <c r="H3" s="6"/>
      <c r="I3" s="132" t="s">
        <v>3</v>
      </c>
      <c r="J3" s="129"/>
      <c r="K3" s="129"/>
      <c r="L3" s="129"/>
      <c r="M3" s="7"/>
    </row>
    <row r="4" spans="1:13" ht="10.5" customHeight="1">
      <c r="A4" s="5"/>
      <c r="B4" s="129"/>
      <c r="C4" s="129"/>
      <c r="D4" s="129"/>
      <c r="E4" s="129"/>
      <c r="F4" s="129"/>
      <c r="G4" s="129"/>
      <c r="H4" s="6"/>
      <c r="I4" s="133" t="s">
        <v>4</v>
      </c>
      <c r="J4" s="129"/>
      <c r="K4" s="129"/>
      <c r="L4" s="129"/>
      <c r="M4" s="129"/>
    </row>
    <row r="5" spans="1:13" ht="13">
      <c r="A5" s="5"/>
      <c r="B5" s="131" t="s">
        <v>5</v>
      </c>
      <c r="C5" s="129"/>
      <c r="D5" s="129"/>
      <c r="E5" s="129"/>
      <c r="F5" s="129"/>
      <c r="G5" s="129"/>
      <c r="H5" s="6"/>
      <c r="I5" s="129"/>
      <c r="J5" s="129"/>
      <c r="K5" s="129"/>
      <c r="L5" s="129"/>
      <c r="M5" s="129"/>
    </row>
    <row r="6" spans="1:13" ht="23.25" customHeight="1">
      <c r="A6" s="8"/>
      <c r="B6" s="129"/>
      <c r="C6" s="129"/>
      <c r="D6" s="129"/>
      <c r="E6" s="129"/>
      <c r="F6" s="129"/>
      <c r="G6" s="129"/>
      <c r="H6" s="9"/>
      <c r="I6" s="10"/>
      <c r="J6" s="10"/>
      <c r="K6" s="11"/>
      <c r="L6" s="10"/>
      <c r="M6" s="10"/>
    </row>
    <row r="7" spans="1:13" ht="30" customHeight="1">
      <c r="A7" s="12"/>
      <c r="B7" s="13"/>
      <c r="C7" s="13"/>
      <c r="D7" s="13"/>
      <c r="E7" s="14"/>
      <c r="F7" s="15"/>
      <c r="G7" s="16"/>
      <c r="H7" s="15"/>
      <c r="I7" s="15"/>
      <c r="J7" s="15"/>
      <c r="K7" s="17"/>
      <c r="L7" s="15"/>
      <c r="M7" s="15"/>
    </row>
    <row r="8" spans="1:13" ht="18" customHeight="1">
      <c r="A8" s="18"/>
      <c r="B8" s="135" t="s">
        <v>6</v>
      </c>
      <c r="C8" s="129"/>
      <c r="D8" s="129"/>
      <c r="E8" s="129"/>
      <c r="F8" s="15"/>
      <c r="G8" s="19"/>
      <c r="H8" s="15"/>
      <c r="I8" s="20"/>
      <c r="J8" s="134" t="s">
        <v>7</v>
      </c>
      <c r="K8" s="129"/>
      <c r="L8" s="21">
        <v>1000</v>
      </c>
      <c r="M8" s="15"/>
    </row>
    <row r="9" spans="1:13" ht="18" customHeight="1">
      <c r="A9" s="18"/>
      <c r="B9" s="129"/>
      <c r="C9" s="129"/>
      <c r="D9" s="129"/>
      <c r="E9" s="129"/>
      <c r="F9" s="15"/>
      <c r="G9" s="19"/>
      <c r="H9" s="15"/>
      <c r="I9" s="22"/>
      <c r="J9" s="15"/>
      <c r="K9" s="17"/>
      <c r="L9" s="19"/>
      <c r="M9" s="15"/>
    </row>
    <row r="10" spans="1:13" ht="18" customHeight="1">
      <c r="A10" s="15"/>
      <c r="B10" s="23"/>
      <c r="C10" s="23"/>
      <c r="D10" s="23"/>
      <c r="E10" s="24"/>
      <c r="F10" s="15"/>
      <c r="G10" s="19"/>
      <c r="H10" s="15"/>
      <c r="I10" s="22"/>
      <c r="J10" s="15"/>
      <c r="K10" s="17"/>
      <c r="L10" s="19"/>
      <c r="M10" s="15"/>
    </row>
    <row r="11" spans="1:13" ht="12" customHeight="1">
      <c r="A11" s="12"/>
      <c r="B11" s="25"/>
      <c r="C11" s="25"/>
      <c r="D11" s="26"/>
      <c r="E11" s="27"/>
      <c r="F11" s="12"/>
      <c r="G11" s="20"/>
      <c r="H11" s="28"/>
      <c r="I11" s="29"/>
      <c r="J11" s="29"/>
      <c r="K11" s="30"/>
      <c r="L11" s="31"/>
      <c r="M11" s="12"/>
    </row>
    <row r="12" spans="1:13" ht="18" customHeight="1">
      <c r="A12" s="20"/>
      <c r="B12" s="12"/>
      <c r="C12" s="20"/>
      <c r="D12" s="136" t="str">
        <f ca="1">IFERROR(__xludf.DUMMYFUNCTION("SPARKLINE(D17,{""charttype"",""column"";""ymin"", 0; ""ymax"",MAX(D17:E17);""firstcolor"",""#334960""})"),"")</f>
        <v/>
      </c>
      <c r="E12" s="138" t="str">
        <f ca="1">IFERROR(__xludf.DUMMYFUNCTION("SPARKLINE(E17,{""charttype"",""column"";""ymin"", 0; ""ymax"",max(D17:E17);""firstcolor"",""#f46524""})"),"")</f>
        <v/>
      </c>
      <c r="F12" s="12"/>
      <c r="G12" s="12"/>
      <c r="H12" s="32"/>
      <c r="I12" s="33"/>
      <c r="J12" s="33"/>
      <c r="K12" s="34"/>
      <c r="L12" s="35"/>
      <c r="M12" s="20"/>
    </row>
    <row r="13" spans="1:13" ht="18" customHeight="1">
      <c r="A13" s="20"/>
      <c r="B13" s="12"/>
      <c r="C13" s="36"/>
      <c r="D13" s="137"/>
      <c r="E13" s="129"/>
      <c r="F13" s="12"/>
      <c r="G13" s="12"/>
      <c r="H13" s="32"/>
      <c r="I13" s="139">
        <f>IFERROR(E17/D17-1, "")</f>
        <v>0</v>
      </c>
      <c r="J13" s="129"/>
      <c r="K13" s="129"/>
      <c r="L13" s="35"/>
      <c r="M13" s="37"/>
    </row>
    <row r="14" spans="1:13" ht="24" customHeight="1">
      <c r="A14" s="12"/>
      <c r="B14" s="12"/>
      <c r="C14" s="36"/>
      <c r="D14" s="137"/>
      <c r="E14" s="129"/>
      <c r="F14" s="12"/>
      <c r="G14" s="12"/>
      <c r="H14" s="32"/>
      <c r="I14" s="140" t="str">
        <f>IF(I13 &lt; 0, "de baisse des économies totales", "d'augmentation des économies totales")</f>
        <v>d'augmentation des économies totales</v>
      </c>
      <c r="J14" s="141"/>
      <c r="K14" s="141"/>
      <c r="L14" s="35"/>
      <c r="M14" s="38"/>
    </row>
    <row r="15" spans="1:13" ht="39.75" customHeight="1">
      <c r="A15" s="12"/>
      <c r="B15" s="12"/>
      <c r="C15" s="36"/>
      <c r="D15" s="137"/>
      <c r="E15" s="129"/>
      <c r="F15" s="12"/>
      <c r="G15" s="36"/>
      <c r="H15" s="32"/>
      <c r="I15" s="142">
        <f>IFERROR(E17-D17, 0)</f>
        <v>0</v>
      </c>
      <c r="J15" s="129"/>
      <c r="K15" s="129"/>
      <c r="L15" s="35"/>
      <c r="M15" s="38"/>
    </row>
    <row r="16" spans="1:13" ht="18" customHeight="1">
      <c r="A16" s="12"/>
      <c r="B16" s="25"/>
      <c r="C16" s="39"/>
      <c r="D16" s="40" t="s">
        <v>8</v>
      </c>
      <c r="E16" s="41" t="s">
        <v>9</v>
      </c>
      <c r="F16" s="39"/>
      <c r="G16" s="42"/>
      <c r="H16" s="32"/>
      <c r="I16" s="143" t="str">
        <f>IF(J15&lt;0, "dépensés ce mois-ci", "économisés ce mois-ci")</f>
        <v>économisés ce mois-ci</v>
      </c>
      <c r="J16" s="129"/>
      <c r="K16" s="129"/>
      <c r="L16" s="35"/>
      <c r="M16" s="43"/>
    </row>
    <row r="17" spans="1:13" ht="18" customHeight="1">
      <c r="A17" s="20"/>
      <c r="B17" s="12"/>
      <c r="C17" s="20"/>
      <c r="D17" s="44">
        <f>IF(ISBLANK(L8),0,L8)</f>
        <v>1000</v>
      </c>
      <c r="E17" s="45">
        <f>D17+(I22-C22)</f>
        <v>1000</v>
      </c>
      <c r="F17" s="20"/>
      <c r="G17" s="36"/>
      <c r="H17" s="32"/>
      <c r="I17" s="144"/>
      <c r="J17" s="129"/>
      <c r="K17" s="129"/>
      <c r="L17" s="35"/>
      <c r="M17" s="20"/>
    </row>
    <row r="18" spans="1:13" ht="12" customHeight="1">
      <c r="A18" s="20"/>
      <c r="B18" s="46"/>
      <c r="C18" s="46"/>
      <c r="D18" s="46"/>
      <c r="E18" s="47"/>
      <c r="F18" s="46"/>
      <c r="G18" s="20"/>
      <c r="H18" s="48"/>
      <c r="I18" s="49"/>
      <c r="J18" s="50"/>
      <c r="K18" s="51"/>
      <c r="L18" s="52"/>
      <c r="M18" s="20"/>
    </row>
    <row r="19" spans="1:13" ht="24" customHeight="1">
      <c r="A19" s="20"/>
      <c r="B19" s="46"/>
      <c r="C19" s="46"/>
      <c r="D19" s="46"/>
      <c r="E19" s="47"/>
      <c r="F19" s="46"/>
      <c r="G19" s="20"/>
      <c r="H19" s="20"/>
      <c r="I19" s="20"/>
      <c r="J19" s="13"/>
      <c r="K19" s="53"/>
      <c r="L19" s="20"/>
      <c r="M19" s="20"/>
    </row>
    <row r="20" spans="1:13" ht="24" customHeight="1">
      <c r="A20" s="54"/>
      <c r="B20" s="145" t="s">
        <v>10</v>
      </c>
      <c r="C20" s="129"/>
      <c r="D20" s="129"/>
      <c r="E20" s="129"/>
      <c r="F20" s="129"/>
      <c r="G20" s="54"/>
      <c r="H20" s="55" t="s">
        <v>11</v>
      </c>
      <c r="I20" s="55"/>
      <c r="J20" s="56"/>
      <c r="K20" s="57"/>
      <c r="L20" s="54"/>
      <c r="M20" s="54"/>
    </row>
    <row r="21" spans="1:13" ht="19.5" customHeight="1">
      <c r="A21" s="58"/>
      <c r="B21" s="59" t="s">
        <v>12</v>
      </c>
      <c r="C21" s="60">
        <f>D26</f>
        <v>760.4</v>
      </c>
      <c r="D21" s="146" t="str">
        <f ca="1">IFERROR(__xludf.DUMMYFUNCTION("SPARKLINE(C21,{""charttype"",""bar"";""max"",max(C21:C22);""color1"",""#AEB7C0""})"),"")</f>
        <v/>
      </c>
      <c r="E21" s="129"/>
      <c r="F21" s="129"/>
      <c r="G21" s="58"/>
      <c r="H21" s="59" t="s">
        <v>13</v>
      </c>
      <c r="I21" s="60">
        <f>J26</f>
        <v>629.4</v>
      </c>
      <c r="J21" s="146" t="str">
        <f ca="1">IFERROR(__xludf.DUMMYFUNCTION("SPARKLINE(I21,{""charttype"",""bar"";""max"",max(I21:I22);""color1"",""#AEB7C0""})"),"")</f>
        <v/>
      </c>
      <c r="K21" s="129"/>
      <c r="L21" s="129"/>
      <c r="M21" s="58"/>
    </row>
    <row r="22" spans="1:13" ht="19.5" customHeight="1">
      <c r="A22" s="61"/>
      <c r="B22" s="62" t="s">
        <v>14</v>
      </c>
      <c r="C22" s="63">
        <f>E26</f>
        <v>0</v>
      </c>
      <c r="D22" s="147" t="str">
        <f ca="1">IFERROR(__xludf.DUMMYFUNCTION("SPARKLINE(C22,{""charttype"",""bar"";""max"",max(C21:C22);""color1"",""#334960""})"),"")</f>
        <v/>
      </c>
      <c r="E22" s="129"/>
      <c r="F22" s="129"/>
      <c r="G22" s="46"/>
      <c r="H22" s="62" t="s">
        <v>15</v>
      </c>
      <c r="I22" s="63">
        <f>K26</f>
        <v>0</v>
      </c>
      <c r="J22" s="147" t="str">
        <f ca="1">IFERROR(__xludf.DUMMYFUNCTION("SPARKLINE(I22,{""charttype"",""bar"";""max"",max(I21:I22);""color1"",""#334960""})"),"")</f>
        <v/>
      </c>
      <c r="K22" s="129"/>
      <c r="L22" s="129"/>
      <c r="M22" s="61"/>
    </row>
    <row r="23" spans="1:13" ht="30" customHeight="1">
      <c r="A23" s="12"/>
      <c r="B23" s="64"/>
      <c r="C23" s="65"/>
      <c r="D23" s="148"/>
      <c r="E23" s="129"/>
      <c r="F23" s="129"/>
      <c r="G23" s="12"/>
      <c r="H23" s="64"/>
      <c r="I23" s="65"/>
      <c r="J23" s="148"/>
      <c r="K23" s="129"/>
      <c r="L23" s="129"/>
      <c r="M23" s="61"/>
    </row>
    <row r="24" spans="1:13" ht="29.25" customHeight="1">
      <c r="A24" s="66"/>
      <c r="B24" s="149" t="s">
        <v>10</v>
      </c>
      <c r="C24" s="129"/>
      <c r="D24" s="67"/>
      <c r="E24" s="68"/>
      <c r="F24" s="67"/>
      <c r="G24" s="69"/>
      <c r="H24" s="70" t="s">
        <v>11</v>
      </c>
      <c r="I24" s="71"/>
      <c r="J24" s="67"/>
      <c r="K24" s="68"/>
      <c r="L24" s="67"/>
      <c r="M24" s="66"/>
    </row>
    <row r="25" spans="1:13" ht="19.5" customHeight="1">
      <c r="A25" s="72"/>
      <c r="B25" s="73"/>
      <c r="C25" s="74"/>
      <c r="D25" s="73" t="s">
        <v>12</v>
      </c>
      <c r="E25" s="75" t="s">
        <v>14</v>
      </c>
      <c r="F25" s="73" t="s">
        <v>16</v>
      </c>
      <c r="G25" s="76"/>
      <c r="H25" s="77"/>
      <c r="I25" s="78"/>
      <c r="J25" s="73" t="s">
        <v>13</v>
      </c>
      <c r="K25" s="75" t="s">
        <v>15</v>
      </c>
      <c r="L25" s="73" t="s">
        <v>16</v>
      </c>
      <c r="M25" s="72"/>
    </row>
    <row r="26" spans="1:13" ht="17.25" customHeight="1">
      <c r="A26" s="79"/>
      <c r="B26" s="80" t="s">
        <v>17</v>
      </c>
      <c r="C26" s="80"/>
      <c r="D26" s="81">
        <f t="shared" ref="D26:F26" si="0">SUM(D27:D44)</f>
        <v>760.4</v>
      </c>
      <c r="E26" s="82">
        <f t="shared" si="0"/>
        <v>0</v>
      </c>
      <c r="F26" s="81">
        <f t="shared" si="0"/>
        <v>760.4</v>
      </c>
      <c r="G26" s="83"/>
      <c r="H26" s="84" t="s">
        <v>17</v>
      </c>
      <c r="I26" s="85"/>
      <c r="J26" s="81">
        <f t="shared" ref="J26:L26" si="1">SUM(J27:J44)</f>
        <v>629.4</v>
      </c>
      <c r="K26" s="82">
        <f t="shared" si="1"/>
        <v>0</v>
      </c>
      <c r="L26" s="81">
        <f t="shared" si="1"/>
        <v>-629.4</v>
      </c>
      <c r="M26" s="79"/>
    </row>
    <row r="27" spans="1:13" ht="18" hidden="1" customHeight="1">
      <c r="A27" s="86"/>
      <c r="B27" s="150"/>
      <c r="C27" s="151"/>
      <c r="D27" s="87"/>
      <c r="E27" s="88" t="str">
        <f>IF(ISBLANK($B27), "", SUMIF(Transactions!$E:$E,$B27,Transactions!$C:$C))</f>
        <v/>
      </c>
      <c r="F27" s="89" t="str">
        <f t="shared" ref="F27:F41" si="2">IF(ISBLANK($B27), "", D27-E27)</f>
        <v/>
      </c>
      <c r="G27" s="90"/>
      <c r="H27" s="152"/>
      <c r="I27" s="153"/>
      <c r="J27" s="91"/>
      <c r="K27" s="88" t="str">
        <f>IF(ISBLANK($H27), "", SUMIF(Transactions!$J:$J,$H27,Transactions!$H:$H))</f>
        <v/>
      </c>
      <c r="L27" s="92" t="str">
        <f t="shared" ref="L27:L41" si="3">IF(ISBLANK($H27), "", K27-J27)</f>
        <v/>
      </c>
      <c r="M27" s="86"/>
    </row>
    <row r="28" spans="1:13" ht="18" customHeight="1">
      <c r="A28" s="86"/>
      <c r="B28" s="154" t="s">
        <v>18</v>
      </c>
      <c r="C28" s="155"/>
      <c r="D28" s="93">
        <f>700/4</f>
        <v>175</v>
      </c>
      <c r="E28" s="88">
        <f>IF(ISBLANK($B28), "", SUMIF(Transactions!$E:$E,$B28,Transactions!$C:$C))</f>
        <v>0</v>
      </c>
      <c r="F28" s="94">
        <f t="shared" si="2"/>
        <v>175</v>
      </c>
      <c r="G28" s="90"/>
      <c r="H28" s="154" t="s">
        <v>19</v>
      </c>
      <c r="I28" s="155"/>
      <c r="J28" s="93"/>
      <c r="K28" s="88">
        <f>IF(ISBLANK($H28), "", SUMIF(Transactions!$J:$J,$H28,Transactions!$H:$H))</f>
        <v>0</v>
      </c>
      <c r="L28" s="94">
        <f t="shared" si="3"/>
        <v>0</v>
      </c>
      <c r="M28" s="86"/>
    </row>
    <row r="29" spans="1:13" ht="18" customHeight="1">
      <c r="A29" s="86"/>
      <c r="B29" s="154" t="s">
        <v>20</v>
      </c>
      <c r="C29" s="155"/>
      <c r="D29" s="93">
        <f>130/4</f>
        <v>32.5</v>
      </c>
      <c r="E29" s="88">
        <f>IF(ISBLANK($B29), "", SUMIF(Transactions!$E:$E,$B29,Transactions!$C:$C))</f>
        <v>0</v>
      </c>
      <c r="F29" s="94">
        <f t="shared" si="2"/>
        <v>32.5</v>
      </c>
      <c r="G29" s="90"/>
      <c r="H29" s="154" t="s">
        <v>21</v>
      </c>
      <c r="I29" s="155"/>
      <c r="J29" s="93"/>
      <c r="K29" s="88">
        <f>IF(ISBLANK($H29), "", SUMIF(Transactions!$J:$J,$H29,Transactions!$H:$H))</f>
        <v>0</v>
      </c>
      <c r="L29" s="94">
        <f t="shared" si="3"/>
        <v>0</v>
      </c>
      <c r="M29" s="86"/>
    </row>
    <row r="30" spans="1:13" ht="18" customHeight="1">
      <c r="A30" s="61"/>
      <c r="B30" s="154" t="s">
        <v>22</v>
      </c>
      <c r="C30" s="155"/>
      <c r="D30" s="93">
        <f>5</f>
        <v>5</v>
      </c>
      <c r="E30" s="88">
        <f>IF(ISBLANK($B30), "", SUMIF(Transactions!$E:$E,$B30,Transactions!$C:$C))</f>
        <v>0</v>
      </c>
      <c r="F30" s="94">
        <f t="shared" si="2"/>
        <v>5</v>
      </c>
      <c r="G30" s="95"/>
      <c r="H30" s="154" t="s">
        <v>23</v>
      </c>
      <c r="I30" s="155"/>
      <c r="J30" s="93"/>
      <c r="K30" s="88">
        <f>IF(ISBLANK($H30), "", SUMIF(Transactions!$J:$J,$H30,Transactions!$H:$H))</f>
        <v>0</v>
      </c>
      <c r="L30" s="94">
        <f t="shared" si="3"/>
        <v>0</v>
      </c>
      <c r="M30" s="61"/>
    </row>
    <row r="31" spans="1:13" ht="18" customHeight="1">
      <c r="A31" s="61"/>
      <c r="B31" s="154" t="s">
        <v>24</v>
      </c>
      <c r="C31" s="155"/>
      <c r="D31" s="93">
        <v>0</v>
      </c>
      <c r="E31" s="88">
        <f>IF(ISBLANK($B31), "", SUMIF(Transactions!$E:$E,$B31,Transactions!$C:$C))</f>
        <v>0</v>
      </c>
      <c r="F31" s="94">
        <f t="shared" si="2"/>
        <v>0</v>
      </c>
      <c r="G31" s="95"/>
      <c r="H31" s="154" t="s">
        <v>25</v>
      </c>
      <c r="I31" s="155"/>
      <c r="J31" s="93">
        <v>329.4</v>
      </c>
      <c r="K31" s="88">
        <f>IF(ISBLANK($H31), "", SUMIF(Transactions!$J:$J,$H31,Transactions!$H:$H))</f>
        <v>0</v>
      </c>
      <c r="L31" s="94">
        <f t="shared" si="3"/>
        <v>-329.4</v>
      </c>
      <c r="M31" s="61"/>
    </row>
    <row r="32" spans="1:13" ht="18" customHeight="1">
      <c r="A32" s="61"/>
      <c r="B32" s="154" t="s">
        <v>26</v>
      </c>
      <c r="C32" s="155"/>
      <c r="D32" s="93">
        <v>60</v>
      </c>
      <c r="E32" s="88">
        <f>IF(ISBLANK($B32), "", SUMIF(Transactions!$E:$E,$B32,Transactions!$C:$C))</f>
        <v>0</v>
      </c>
      <c r="F32" s="94">
        <f t="shared" si="2"/>
        <v>60</v>
      </c>
      <c r="G32" s="95"/>
      <c r="H32" s="154" t="s">
        <v>27</v>
      </c>
      <c r="I32" s="155"/>
      <c r="J32" s="93"/>
      <c r="K32" s="88">
        <f>IF(ISBLANK($H32), "", SUMIF(Transactions!$J:$J,$H32,Transactions!$H:$H))</f>
        <v>0</v>
      </c>
      <c r="L32" s="94">
        <f t="shared" si="3"/>
        <v>0</v>
      </c>
      <c r="M32" s="61"/>
    </row>
    <row r="33" spans="1:13" ht="18" customHeight="1">
      <c r="A33" s="61"/>
      <c r="B33" s="154" t="s">
        <v>28</v>
      </c>
      <c r="C33" s="155"/>
      <c r="D33" s="93">
        <f>150/4</f>
        <v>37.5</v>
      </c>
      <c r="E33" s="88">
        <f>IF(ISBLANK($B33), "", SUMIF(Transactions!$E:$E,$B33,Transactions!$C:$C))</f>
        <v>0</v>
      </c>
      <c r="F33" s="94">
        <f t="shared" si="2"/>
        <v>37.5</v>
      </c>
      <c r="G33" s="95"/>
      <c r="H33" s="154" t="s">
        <v>29</v>
      </c>
      <c r="I33" s="155"/>
      <c r="J33" s="96"/>
      <c r="K33" s="88">
        <f>IF(ISBLANK($H33), "", SUMIF(Transactions!$J:$J,$H33,Transactions!$H:$H))</f>
        <v>0</v>
      </c>
      <c r="L33" s="94">
        <f t="shared" si="3"/>
        <v>0</v>
      </c>
      <c r="M33" s="61"/>
    </row>
    <row r="34" spans="1:13" ht="18" customHeight="1">
      <c r="A34" s="61"/>
      <c r="B34" s="154" t="s">
        <v>30</v>
      </c>
      <c r="C34" s="155"/>
      <c r="D34" s="93"/>
      <c r="E34" s="88">
        <f>IF(ISBLANK($B34), "", SUMIF(Transactions!$E:$E,$B34,Transactions!$C:$C))</f>
        <v>0</v>
      </c>
      <c r="F34" s="94">
        <f t="shared" si="2"/>
        <v>0</v>
      </c>
      <c r="G34" s="97"/>
      <c r="H34" s="156" t="s">
        <v>31</v>
      </c>
      <c r="I34" s="155"/>
      <c r="J34" s="93">
        <v>300</v>
      </c>
      <c r="K34" s="88">
        <f>IF(ISBLANK($H34), "", SUMIF(Transactions!$J:$J,$H34,Transactions!$H:$H))</f>
        <v>0</v>
      </c>
      <c r="L34" s="98">
        <f t="shared" si="3"/>
        <v>-300</v>
      </c>
      <c r="M34" s="61"/>
    </row>
    <row r="35" spans="1:13" ht="18" customHeight="1">
      <c r="A35" s="61"/>
      <c r="B35" s="154" t="s">
        <v>32</v>
      </c>
      <c r="C35" s="155"/>
      <c r="D35" s="93"/>
      <c r="E35" s="88">
        <f>IF(ISBLANK($B35), "", SUMIF(Transactions!$E:$E,$B35,Transactions!$C:$C))</f>
        <v>0</v>
      </c>
      <c r="F35" s="94">
        <f t="shared" si="2"/>
        <v>0</v>
      </c>
      <c r="G35" s="95"/>
      <c r="H35" s="156"/>
      <c r="I35" s="155"/>
      <c r="J35" s="99"/>
      <c r="K35" s="88" t="str">
        <f>IF(ISBLANK($H35), "", SUMIF(Transactions!$J:$J,$H35,Transactions!$H:$H))</f>
        <v/>
      </c>
      <c r="L35" s="98" t="str">
        <f t="shared" si="3"/>
        <v/>
      </c>
      <c r="M35" s="61"/>
    </row>
    <row r="36" spans="1:13" ht="18" customHeight="1">
      <c r="A36" s="61"/>
      <c r="B36" s="154" t="s">
        <v>33</v>
      </c>
      <c r="C36" s="155"/>
      <c r="D36" s="93"/>
      <c r="E36" s="88">
        <f>IF(ISBLANK($B36), "", SUMIF(Transactions!$E:$E,$B36,Transactions!$C:$C))</f>
        <v>0</v>
      </c>
      <c r="F36" s="94">
        <f t="shared" si="2"/>
        <v>0</v>
      </c>
      <c r="G36" s="95"/>
      <c r="H36" s="156"/>
      <c r="I36" s="155"/>
      <c r="J36" s="99"/>
      <c r="K36" s="88" t="str">
        <f>IF(ISBLANK($H36), "", SUMIF(Transactions!$J:$J,$H36,Transactions!$H:$H))</f>
        <v/>
      </c>
      <c r="L36" s="98" t="str">
        <f t="shared" si="3"/>
        <v/>
      </c>
      <c r="M36" s="61"/>
    </row>
    <row r="37" spans="1:13" ht="18" customHeight="1">
      <c r="A37" s="61"/>
      <c r="B37" s="154" t="s">
        <v>34</v>
      </c>
      <c r="C37" s="155"/>
      <c r="D37" s="93">
        <f>40</f>
        <v>40</v>
      </c>
      <c r="E37" s="88">
        <f>IF(ISBLANK($B37), "", SUMIF(Transactions!$E:$E,$B37,Transactions!$C:$C))</f>
        <v>0</v>
      </c>
      <c r="F37" s="94">
        <f t="shared" si="2"/>
        <v>40</v>
      </c>
      <c r="G37" s="95"/>
      <c r="H37" s="156"/>
      <c r="I37" s="155"/>
      <c r="J37" s="99"/>
      <c r="K37" s="88" t="str">
        <f>IF(ISBLANK($H37), "", SUMIF(Transactions!$J:$J,$H37,Transactions!$H:$H))</f>
        <v/>
      </c>
      <c r="L37" s="98" t="str">
        <f t="shared" si="3"/>
        <v/>
      </c>
      <c r="M37" s="61"/>
    </row>
    <row r="38" spans="1:13" ht="18" customHeight="1">
      <c r="A38" s="61"/>
      <c r="B38" s="154" t="s">
        <v>27</v>
      </c>
      <c r="C38" s="155"/>
      <c r="D38" s="93">
        <f>30/4</f>
        <v>7.5</v>
      </c>
      <c r="E38" s="88">
        <f>IF(ISBLANK($B38), "", SUMIF(Transactions!$E:$E,$B38,Transactions!$C:$C))</f>
        <v>0</v>
      </c>
      <c r="F38" s="94">
        <f t="shared" si="2"/>
        <v>7.5</v>
      </c>
      <c r="G38" s="95"/>
      <c r="H38" s="156"/>
      <c r="I38" s="155"/>
      <c r="J38" s="99"/>
      <c r="K38" s="88" t="str">
        <f>IF(ISBLANK($H38), "", SUMIF(Transactions!$J:$J,$H38,Transactions!$H:$H))</f>
        <v/>
      </c>
      <c r="L38" s="98" t="str">
        <f t="shared" si="3"/>
        <v/>
      </c>
      <c r="M38" s="61"/>
    </row>
    <row r="39" spans="1:13" ht="18" customHeight="1">
      <c r="A39" s="61"/>
      <c r="B39" s="154" t="s">
        <v>29</v>
      </c>
      <c r="C39" s="155"/>
      <c r="D39" s="93">
        <v>329.4</v>
      </c>
      <c r="E39" s="88">
        <f>IF(ISBLANK($B39), "", SUMIF(Transactions!$E:$E,$B39,Transactions!$C:$C))</f>
        <v>0</v>
      </c>
      <c r="F39" s="94">
        <f t="shared" si="2"/>
        <v>329.4</v>
      </c>
      <c r="G39" s="95"/>
      <c r="H39" s="156"/>
      <c r="I39" s="155"/>
      <c r="J39" s="99"/>
      <c r="K39" s="88" t="str">
        <f>IF(ISBLANK($H39), "", SUMIF(Transactions!$J:$J,$H39,Transactions!$H:$H))</f>
        <v/>
      </c>
      <c r="L39" s="98" t="str">
        <f t="shared" si="3"/>
        <v/>
      </c>
      <c r="M39" s="61"/>
    </row>
    <row r="40" spans="1:13" ht="18" customHeight="1">
      <c r="A40" s="61"/>
      <c r="B40" s="154" t="s">
        <v>35</v>
      </c>
      <c r="C40" s="155"/>
      <c r="D40" s="100">
        <f>200/4</f>
        <v>50</v>
      </c>
      <c r="E40" s="88">
        <f>IF(ISBLANK($B40), "", SUMIF(Transactions!$E:$E,$B40,Transactions!$C:$C))</f>
        <v>0</v>
      </c>
      <c r="F40" s="94">
        <f t="shared" si="2"/>
        <v>50</v>
      </c>
      <c r="G40" s="95"/>
      <c r="H40" s="156"/>
      <c r="I40" s="155"/>
      <c r="J40" s="99"/>
      <c r="K40" s="88" t="str">
        <f>IF(ISBLANK($H40), "", SUMIF(Transactions!$J:$J,$H40,Transactions!$H:$H))</f>
        <v/>
      </c>
      <c r="L40" s="98" t="str">
        <f t="shared" si="3"/>
        <v/>
      </c>
      <c r="M40" s="61"/>
    </row>
    <row r="41" spans="1:13" ht="18" customHeight="1">
      <c r="A41" s="61"/>
      <c r="B41" s="154" t="s">
        <v>36</v>
      </c>
      <c r="C41" s="155"/>
      <c r="D41" s="100">
        <f>94/4</f>
        <v>23.5</v>
      </c>
      <c r="E41" s="88">
        <f>IF(ISBLANK($B41), "", SUMIF(Transactions!$E:$E,$B41,Transactions!$C:$C))</f>
        <v>0</v>
      </c>
      <c r="F41" s="94">
        <f t="shared" si="2"/>
        <v>23.5</v>
      </c>
      <c r="G41" s="95"/>
      <c r="H41" s="156"/>
      <c r="I41" s="155"/>
      <c r="J41" s="99"/>
      <c r="K41" s="88" t="str">
        <f>IF(ISBLANK($H41), "", SUMIF(Transactions!$J:$J,$H41,Transactions!$H:$H))</f>
        <v/>
      </c>
      <c r="L41" s="98" t="str">
        <f t="shared" si="3"/>
        <v/>
      </c>
      <c r="M41" s="61"/>
    </row>
    <row r="42" spans="1:13" ht="18" customHeight="1">
      <c r="A42" s="61"/>
      <c r="B42" s="101"/>
      <c r="C42" s="101"/>
      <c r="D42" s="102"/>
      <c r="E42" s="88"/>
      <c r="F42" s="98"/>
      <c r="G42" s="95"/>
      <c r="H42" s="103"/>
      <c r="I42" s="103"/>
      <c r="J42" s="99"/>
      <c r="K42" s="88"/>
      <c r="L42" s="98"/>
      <c r="M42" s="61"/>
    </row>
    <row r="43" spans="1:13" ht="18" customHeight="1">
      <c r="A43" s="61"/>
      <c r="B43" s="101"/>
      <c r="C43" s="101"/>
      <c r="D43" s="102"/>
      <c r="E43" s="88"/>
      <c r="F43" s="98"/>
      <c r="G43" s="95"/>
      <c r="H43" s="103"/>
      <c r="I43" s="103"/>
      <c r="J43" s="99"/>
      <c r="K43" s="88"/>
      <c r="L43" s="98"/>
      <c r="M43" s="61"/>
    </row>
    <row r="44" spans="1:13" ht="18" customHeight="1">
      <c r="A44" s="61"/>
      <c r="B44" s="154"/>
      <c r="C44" s="155"/>
      <c r="D44" s="104"/>
      <c r="E44" s="88" t="str">
        <f>IF(ISBLANK($B44), "", SUMIF(Transactions!$E:$E,$B44,Transactions!$C:$C))</f>
        <v/>
      </c>
      <c r="F44" s="98" t="str">
        <f>IF(ISBLANK($B44), "", D44-E44)</f>
        <v/>
      </c>
      <c r="G44" s="95"/>
      <c r="H44" s="156"/>
      <c r="I44" s="155"/>
      <c r="J44" s="99"/>
      <c r="K44" s="88" t="str">
        <f>IF(ISBLANK($H44), "", SUMIF(Transactions!$J:$J,$H44,Transactions!$H:$H))</f>
        <v/>
      </c>
      <c r="L44" s="98" t="str">
        <f>IF(ISBLANK($H44), "", K44-J44)</f>
        <v/>
      </c>
      <c r="M44" s="61"/>
    </row>
  </sheetData>
  <mergeCells count="55">
    <mergeCell ref="H44:I44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7:C27"/>
    <mergeCell ref="H27:I27"/>
    <mergeCell ref="B28:C28"/>
    <mergeCell ref="H28:I28"/>
    <mergeCell ref="H29:I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</mergeCells>
  <conditionalFormatting sqref="B27:C44 H27:H44">
    <cfRule type="notContainsBlanks" dxfId="4" priority="1">
      <formula>LEN(TRIM(B27))&gt;0</formula>
    </cfRule>
  </conditionalFormatting>
  <conditionalFormatting sqref="D27:D44">
    <cfRule type="expression" dxfId="3" priority="2">
      <formula>NOT(ISBLANK(B27))</formula>
    </cfRule>
  </conditionalFormatting>
  <conditionalFormatting sqref="F26:F44 L26:L44">
    <cfRule type="cellIs" dxfId="2" priority="4" operator="lessThan">
      <formula>0</formula>
    </cfRule>
  </conditionalFormatting>
  <conditionalFormatting sqref="F27:F44 L27:L44">
    <cfRule type="cellIs" dxfId="1" priority="5" operator="equal">
      <formula>0</formula>
    </cfRule>
  </conditionalFormatting>
  <conditionalFormatting sqref="J27:J44">
    <cfRule type="expression" dxfId="0" priority="3">
      <formula>NOT(ISBLANK(H27))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33"/>
  <sheetViews>
    <sheetView showGridLines="0" tabSelected="1" workbookViewId="0">
      <selection activeCell="L19" sqref="L19"/>
    </sheetView>
  </sheetViews>
  <sheetFormatPr baseColWidth="10" defaultColWidth="12.6640625" defaultRowHeight="15.75" customHeight="1"/>
  <cols>
    <col min="1" max="1" width="5.1640625" customWidth="1"/>
    <col min="2" max="2" width="10.5" customWidth="1"/>
    <col min="3" max="3" width="10" customWidth="1"/>
    <col min="4" max="4" width="20.83203125" customWidth="1"/>
    <col min="5" max="5" width="22" customWidth="1"/>
    <col min="6" max="6" width="5.1640625" customWidth="1"/>
    <col min="9" max="9" width="13.1640625" customWidth="1"/>
    <col min="10" max="10" width="21" customWidth="1"/>
    <col min="11" max="11" width="24.6640625" customWidth="1"/>
  </cols>
  <sheetData>
    <row r="1" spans="1:11" ht="33" customHeight="1">
      <c r="A1" s="105"/>
      <c r="B1" s="157" t="s">
        <v>37</v>
      </c>
      <c r="C1" s="129"/>
      <c r="D1" s="129"/>
      <c r="E1" s="129"/>
      <c r="F1" s="129"/>
      <c r="G1" s="129"/>
      <c r="H1" s="129"/>
      <c r="I1" s="129"/>
      <c r="J1" s="129"/>
      <c r="K1" s="105"/>
    </row>
    <row r="2" spans="1:11" ht="48" customHeight="1">
      <c r="A2" s="106"/>
      <c r="B2" s="107" t="s">
        <v>10</v>
      </c>
      <c r="C2" s="108"/>
      <c r="D2" s="106"/>
      <c r="E2" s="106"/>
      <c r="F2" s="106"/>
      <c r="G2" s="109" t="s">
        <v>11</v>
      </c>
      <c r="H2" s="110"/>
      <c r="I2" s="106"/>
      <c r="J2" s="106"/>
      <c r="K2" s="106"/>
    </row>
    <row r="3" spans="1:11" ht="12" customHeight="1">
      <c r="A3" s="12"/>
      <c r="B3" s="111"/>
      <c r="C3" s="112"/>
      <c r="D3" s="113"/>
      <c r="E3" s="113"/>
      <c r="F3" s="12"/>
      <c r="G3" s="113"/>
      <c r="H3" s="114"/>
      <c r="I3" s="113"/>
      <c r="J3" s="113"/>
      <c r="K3" s="12"/>
    </row>
    <row r="4" spans="1:11" ht="24" customHeight="1">
      <c r="A4" s="61"/>
      <c r="B4" s="115" t="s">
        <v>38</v>
      </c>
      <c r="C4" s="116" t="s">
        <v>39</v>
      </c>
      <c r="D4" s="115" t="s">
        <v>40</v>
      </c>
      <c r="E4" s="115" t="s">
        <v>41</v>
      </c>
      <c r="F4" s="117"/>
      <c r="G4" s="115" t="s">
        <v>38</v>
      </c>
      <c r="H4" s="116" t="s">
        <v>39</v>
      </c>
      <c r="I4" s="115" t="s">
        <v>40</v>
      </c>
      <c r="J4" s="115" t="s">
        <v>41</v>
      </c>
      <c r="K4" s="61"/>
    </row>
    <row r="5" spans="1:11" ht="19.5" customHeight="1">
      <c r="A5" s="61"/>
      <c r="B5" s="118"/>
      <c r="C5" s="116"/>
      <c r="D5" s="115"/>
      <c r="E5" s="115"/>
      <c r="F5" s="117"/>
      <c r="G5" s="118"/>
      <c r="H5" s="116"/>
      <c r="I5" s="115"/>
      <c r="J5" s="115"/>
      <c r="K5" s="61"/>
    </row>
    <row r="6" spans="1:11" ht="19.5" customHeight="1">
      <c r="A6" s="61"/>
      <c r="B6" s="118"/>
      <c r="C6" s="116"/>
      <c r="D6" s="115"/>
      <c r="E6" s="115"/>
      <c r="F6" s="117"/>
      <c r="G6" s="118"/>
      <c r="H6" s="116"/>
      <c r="I6" s="115"/>
      <c r="J6" s="115"/>
      <c r="K6" s="61"/>
    </row>
    <row r="7" spans="1:11" ht="19.5" customHeight="1">
      <c r="A7" s="61"/>
      <c r="B7" s="118"/>
      <c r="C7" s="116"/>
      <c r="D7" s="115"/>
      <c r="E7" s="115"/>
      <c r="F7" s="117"/>
      <c r="G7" s="118"/>
      <c r="H7" s="116"/>
      <c r="I7" s="115"/>
      <c r="J7" s="115"/>
      <c r="K7" s="61"/>
    </row>
    <row r="8" spans="1:11" ht="19.5" customHeight="1">
      <c r="A8" s="61"/>
      <c r="B8" s="118"/>
      <c r="C8" s="116"/>
      <c r="D8" s="115"/>
      <c r="E8" s="115"/>
      <c r="F8" s="117"/>
      <c r="G8" s="118"/>
      <c r="H8" s="116"/>
      <c r="I8" s="115"/>
      <c r="J8" s="115"/>
      <c r="K8" s="61"/>
    </row>
    <row r="9" spans="1:11" ht="19.5" customHeight="1">
      <c r="A9" s="61"/>
      <c r="B9" s="118"/>
      <c r="C9" s="116"/>
      <c r="D9" s="115"/>
      <c r="E9" s="115"/>
      <c r="F9" s="117"/>
      <c r="G9" s="118"/>
      <c r="H9" s="116"/>
      <c r="I9" s="115"/>
      <c r="J9" s="115"/>
      <c r="K9" s="61"/>
    </row>
    <row r="10" spans="1:11" ht="19.5" customHeight="1">
      <c r="A10" s="61"/>
      <c r="B10" s="118"/>
      <c r="C10" s="116"/>
      <c r="D10" s="115"/>
      <c r="E10" s="115"/>
      <c r="F10" s="117"/>
      <c r="G10" s="118"/>
      <c r="H10" s="116"/>
      <c r="I10" s="115"/>
      <c r="J10" s="115"/>
      <c r="K10" s="61"/>
    </row>
    <row r="11" spans="1:11" ht="19.5" customHeight="1">
      <c r="A11" s="61"/>
      <c r="B11" s="118"/>
      <c r="C11" s="116"/>
      <c r="D11" s="115"/>
      <c r="E11" s="115"/>
      <c r="F11" s="117"/>
      <c r="G11" s="119"/>
      <c r="H11" s="120"/>
      <c r="I11" s="117"/>
      <c r="J11" s="117"/>
      <c r="K11" s="61"/>
    </row>
    <row r="12" spans="1:11" ht="19.5" customHeight="1">
      <c r="A12" s="61"/>
      <c r="B12" s="118"/>
      <c r="C12" s="116"/>
      <c r="D12" s="115"/>
      <c r="E12" s="115"/>
      <c r="F12" s="117"/>
      <c r="G12" s="119"/>
      <c r="H12" s="120"/>
      <c r="I12" s="117"/>
      <c r="J12" s="117"/>
      <c r="K12" s="61"/>
    </row>
    <row r="13" spans="1:11" ht="19.5" customHeight="1">
      <c r="A13" s="61"/>
      <c r="B13" s="118"/>
      <c r="C13" s="116"/>
      <c r="D13" s="115"/>
      <c r="E13" s="115"/>
      <c r="F13" s="117"/>
      <c r="G13" s="119"/>
      <c r="H13" s="120"/>
      <c r="I13" s="117"/>
      <c r="J13" s="117"/>
      <c r="K13" s="61"/>
    </row>
    <row r="14" spans="1:11" ht="19.5" customHeight="1">
      <c r="A14" s="61"/>
      <c r="B14" s="118"/>
      <c r="C14" s="116"/>
      <c r="D14" s="115"/>
      <c r="E14" s="115"/>
      <c r="F14" s="117"/>
      <c r="G14" s="119"/>
      <c r="H14" s="120"/>
      <c r="I14" s="117"/>
      <c r="J14" s="117"/>
      <c r="K14" s="61"/>
    </row>
    <row r="15" spans="1:11" ht="19.5" customHeight="1">
      <c r="A15" s="61"/>
      <c r="B15" s="118"/>
      <c r="C15" s="116"/>
      <c r="D15" s="115"/>
      <c r="E15" s="115"/>
      <c r="F15" s="117"/>
      <c r="G15" s="119"/>
      <c r="H15" s="120"/>
      <c r="I15" s="117"/>
      <c r="J15" s="117"/>
      <c r="K15" s="61"/>
    </row>
    <row r="16" spans="1:11" ht="19.5" customHeight="1">
      <c r="A16" s="61"/>
      <c r="B16" s="118"/>
      <c r="C16" s="116"/>
      <c r="D16" s="115"/>
      <c r="E16" s="115"/>
      <c r="F16" s="117"/>
      <c r="G16" s="119"/>
      <c r="H16" s="120"/>
      <c r="I16" s="117"/>
      <c r="J16" s="117"/>
      <c r="K16" s="61"/>
    </row>
    <row r="17" spans="1:11" ht="19.5" customHeight="1">
      <c r="A17" s="61"/>
      <c r="B17" s="118"/>
      <c r="C17" s="116"/>
      <c r="D17" s="115"/>
      <c r="E17" s="115"/>
      <c r="F17" s="117"/>
      <c r="G17" s="119"/>
      <c r="H17" s="120"/>
      <c r="I17" s="117"/>
      <c r="J17" s="117"/>
      <c r="K17" s="61"/>
    </row>
    <row r="18" spans="1:11" ht="19.5" customHeight="1">
      <c r="A18" s="61"/>
      <c r="B18" s="118"/>
      <c r="C18" s="116"/>
      <c r="D18" s="115"/>
      <c r="E18" s="115"/>
      <c r="F18" s="117"/>
      <c r="G18" s="119"/>
      <c r="H18" s="120"/>
      <c r="I18" s="117"/>
      <c r="J18" s="117"/>
      <c r="K18" s="61"/>
    </row>
    <row r="19" spans="1:11" ht="19.5" customHeight="1">
      <c r="A19" s="61"/>
      <c r="B19" s="118"/>
      <c r="C19" s="116"/>
      <c r="D19" s="115"/>
      <c r="E19" s="115"/>
      <c r="F19" s="117"/>
      <c r="G19" s="119"/>
      <c r="H19" s="120"/>
      <c r="I19" s="117"/>
      <c r="J19" s="117"/>
      <c r="K19" s="61"/>
    </row>
    <row r="20" spans="1:11" ht="19.5" customHeight="1">
      <c r="A20" s="61"/>
      <c r="B20" s="118"/>
      <c r="C20" s="116"/>
      <c r="D20" s="115"/>
      <c r="E20" s="115"/>
      <c r="F20" s="117"/>
      <c r="G20" s="119"/>
      <c r="H20" s="120"/>
      <c r="I20" s="117"/>
      <c r="J20" s="117"/>
      <c r="K20" s="61"/>
    </row>
    <row r="21" spans="1:11" ht="19.5" customHeight="1">
      <c r="A21" s="61"/>
      <c r="B21" s="118"/>
      <c r="C21" s="116"/>
      <c r="D21" s="115"/>
      <c r="E21" s="115"/>
      <c r="F21" s="117"/>
      <c r="G21" s="119"/>
      <c r="H21" s="120"/>
      <c r="I21" s="117"/>
      <c r="J21" s="117"/>
      <c r="K21" s="61"/>
    </row>
    <row r="22" spans="1:11" ht="19.5" customHeight="1">
      <c r="A22" s="61"/>
      <c r="B22" s="118"/>
      <c r="C22" s="116"/>
      <c r="D22" s="115"/>
      <c r="E22" s="115"/>
      <c r="F22" s="117"/>
      <c r="G22" s="119"/>
      <c r="H22" s="120"/>
      <c r="I22" s="117"/>
      <c r="J22" s="117"/>
      <c r="K22" s="61"/>
    </row>
    <row r="23" spans="1:11" ht="19.5" customHeight="1">
      <c r="A23" s="61"/>
      <c r="B23" s="118"/>
      <c r="C23" s="116"/>
      <c r="D23" s="115"/>
      <c r="E23" s="115"/>
      <c r="F23" s="117"/>
      <c r="G23" s="119"/>
      <c r="H23" s="120"/>
      <c r="I23" s="117"/>
      <c r="J23" s="117"/>
      <c r="K23" s="61"/>
    </row>
    <row r="24" spans="1:11" ht="19.5" customHeight="1">
      <c r="A24" s="61"/>
      <c r="B24" s="118"/>
      <c r="C24" s="116"/>
      <c r="D24" s="115"/>
      <c r="E24" s="115"/>
      <c r="F24" s="117"/>
      <c r="G24" s="119"/>
      <c r="H24" s="120"/>
      <c r="I24" s="117"/>
      <c r="J24" s="117"/>
      <c r="K24" s="61"/>
    </row>
    <row r="25" spans="1:11" ht="19.5" customHeight="1">
      <c r="A25" s="61"/>
      <c r="B25" s="118"/>
      <c r="C25" s="116"/>
      <c r="D25" s="115"/>
      <c r="E25" s="115"/>
      <c r="F25" s="117"/>
      <c r="G25" s="119"/>
      <c r="H25" s="120"/>
      <c r="I25" s="117"/>
      <c r="J25" s="117"/>
      <c r="K25" s="61"/>
    </row>
    <row r="26" spans="1:11" ht="19.5" customHeight="1">
      <c r="A26" s="61"/>
      <c r="B26" s="118"/>
      <c r="C26" s="116"/>
      <c r="D26" s="115"/>
      <c r="E26" s="115"/>
      <c r="F26" s="117"/>
      <c r="G26" s="119"/>
      <c r="H26" s="120"/>
      <c r="I26" s="117"/>
      <c r="J26" s="117"/>
      <c r="K26" s="61"/>
    </row>
    <row r="27" spans="1:11" ht="19.5" customHeight="1">
      <c r="A27" s="61"/>
      <c r="B27" s="118"/>
      <c r="C27" s="116"/>
      <c r="D27" s="115"/>
      <c r="E27" s="115"/>
      <c r="F27" s="117"/>
      <c r="G27" s="119"/>
      <c r="H27" s="120"/>
      <c r="I27" s="117"/>
      <c r="J27" s="117"/>
      <c r="K27" s="61"/>
    </row>
    <row r="28" spans="1:11" ht="19.5" customHeight="1">
      <c r="A28" s="61"/>
      <c r="B28" s="118"/>
      <c r="C28" s="116"/>
      <c r="D28" s="115"/>
      <c r="E28" s="115"/>
      <c r="F28" s="117"/>
      <c r="G28" s="119"/>
      <c r="H28" s="120"/>
      <c r="I28" s="117"/>
      <c r="J28" s="117"/>
      <c r="K28" s="61"/>
    </row>
    <row r="29" spans="1:11" ht="19.5" customHeight="1">
      <c r="A29" s="61"/>
      <c r="B29" s="118"/>
      <c r="C29" s="116"/>
      <c r="D29" s="115"/>
      <c r="E29" s="115"/>
      <c r="F29" s="117"/>
      <c r="G29" s="119"/>
      <c r="H29" s="120"/>
      <c r="I29" s="117"/>
      <c r="J29" s="117"/>
      <c r="K29" s="61"/>
    </row>
    <row r="30" spans="1:11" ht="19.5" customHeight="1">
      <c r="A30" s="61"/>
      <c r="B30" s="118"/>
      <c r="C30" s="116"/>
      <c r="D30" s="115"/>
      <c r="E30" s="115"/>
      <c r="F30" s="117"/>
      <c r="G30" s="119"/>
      <c r="H30" s="120"/>
      <c r="I30" s="117"/>
      <c r="J30" s="117"/>
      <c r="K30" s="61"/>
    </row>
    <row r="31" spans="1:11" ht="19.5" customHeight="1">
      <c r="A31" s="61"/>
      <c r="B31" s="118"/>
      <c r="C31" s="116"/>
      <c r="D31" s="115"/>
      <c r="E31" s="115"/>
      <c r="F31" s="117"/>
      <c r="G31" s="119"/>
      <c r="H31" s="120"/>
      <c r="I31" s="117"/>
      <c r="J31" s="117"/>
      <c r="K31" s="61"/>
    </row>
    <row r="32" spans="1:11" ht="19.5" customHeight="1">
      <c r="A32" s="61"/>
      <c r="B32" s="118"/>
      <c r="C32" s="116"/>
      <c r="D32" s="115"/>
      <c r="E32" s="115"/>
      <c r="F32" s="117"/>
      <c r="G32" s="119"/>
      <c r="H32" s="120"/>
      <c r="I32" s="117"/>
      <c r="J32" s="117"/>
      <c r="K32" s="61"/>
    </row>
    <row r="33" spans="1:11" ht="19.5" customHeight="1">
      <c r="A33" s="61"/>
      <c r="B33" s="118"/>
      <c r="C33" s="116"/>
      <c r="D33" s="115"/>
      <c r="E33" s="115"/>
      <c r="F33" s="117"/>
      <c r="G33" s="119"/>
      <c r="H33" s="120"/>
      <c r="I33" s="117"/>
      <c r="J33" s="117"/>
      <c r="K33" s="61"/>
    </row>
    <row r="34" spans="1:11" ht="19.5" customHeight="1">
      <c r="A34" s="61"/>
      <c r="B34" s="118"/>
      <c r="C34" s="116"/>
      <c r="D34" s="115"/>
      <c r="E34" s="115"/>
      <c r="F34" s="117"/>
      <c r="G34" s="119"/>
      <c r="H34" s="120"/>
      <c r="I34" s="117"/>
      <c r="J34" s="117"/>
      <c r="K34" s="61"/>
    </row>
    <row r="35" spans="1:11" ht="19.5" customHeight="1">
      <c r="A35" s="61"/>
      <c r="B35" s="118"/>
      <c r="C35" s="116"/>
      <c r="D35" s="115"/>
      <c r="E35" s="115"/>
      <c r="F35" s="117"/>
      <c r="G35" s="119"/>
      <c r="H35" s="120"/>
      <c r="I35" s="117"/>
      <c r="J35" s="117"/>
      <c r="K35" s="61"/>
    </row>
    <row r="36" spans="1:11" ht="19.5" customHeight="1">
      <c r="A36" s="61"/>
      <c r="B36" s="118"/>
      <c r="C36" s="116"/>
      <c r="D36" s="115"/>
      <c r="E36" s="115"/>
      <c r="F36" s="117"/>
      <c r="G36" s="119"/>
      <c r="H36" s="120"/>
      <c r="I36" s="117"/>
      <c r="J36" s="117"/>
      <c r="K36" s="61"/>
    </row>
    <row r="37" spans="1:11" ht="19.5" customHeight="1">
      <c r="A37" s="61"/>
      <c r="B37" s="118"/>
      <c r="C37" s="116"/>
      <c r="D37" s="115"/>
      <c r="E37" s="115"/>
      <c r="F37" s="117"/>
      <c r="G37" s="119"/>
      <c r="H37" s="120"/>
      <c r="I37" s="117"/>
      <c r="J37" s="117"/>
      <c r="K37" s="61"/>
    </row>
    <row r="38" spans="1:11" ht="19.5" customHeight="1">
      <c r="A38" s="61"/>
      <c r="B38" s="121"/>
      <c r="C38" s="122"/>
      <c r="D38" s="123"/>
      <c r="E38" s="124"/>
      <c r="F38" s="61"/>
      <c r="G38" s="125"/>
      <c r="H38" s="126"/>
      <c r="I38" s="127"/>
      <c r="J38" s="124"/>
      <c r="K38" s="61"/>
    </row>
    <row r="39" spans="1:11" ht="19.5" customHeight="1">
      <c r="A39" s="61"/>
      <c r="B39" s="121"/>
      <c r="C39" s="122"/>
      <c r="D39" s="123"/>
      <c r="E39" s="124"/>
      <c r="F39" s="61"/>
      <c r="G39" s="125"/>
      <c r="H39" s="126"/>
      <c r="I39" s="127"/>
      <c r="J39" s="124"/>
      <c r="K39" s="61"/>
    </row>
    <row r="40" spans="1:11" ht="19.5" customHeight="1">
      <c r="A40" s="61"/>
      <c r="B40" s="121"/>
      <c r="C40" s="122"/>
      <c r="D40" s="123"/>
      <c r="E40" s="124"/>
      <c r="F40" s="61"/>
      <c r="G40" s="125"/>
      <c r="H40" s="126"/>
      <c r="I40" s="127"/>
      <c r="J40" s="124"/>
      <c r="K40" s="61"/>
    </row>
    <row r="41" spans="1:11" ht="19.5" customHeight="1">
      <c r="A41" s="61"/>
      <c r="B41" s="121"/>
      <c r="C41" s="122"/>
      <c r="D41" s="123"/>
      <c r="E41" s="124"/>
      <c r="F41" s="61"/>
      <c r="G41" s="125"/>
      <c r="H41" s="126"/>
      <c r="I41" s="127"/>
      <c r="J41" s="124"/>
      <c r="K41" s="61"/>
    </row>
    <row r="42" spans="1:11" ht="19.5" customHeight="1">
      <c r="A42" s="61"/>
      <c r="B42" s="121"/>
      <c r="C42" s="122"/>
      <c r="D42" s="123"/>
      <c r="E42" s="124"/>
      <c r="F42" s="61"/>
      <c r="G42" s="125"/>
      <c r="H42" s="126"/>
      <c r="I42" s="127"/>
      <c r="J42" s="124"/>
      <c r="K42" s="61"/>
    </row>
    <row r="43" spans="1:11" ht="19.5" customHeight="1">
      <c r="A43" s="61"/>
      <c r="B43" s="121"/>
      <c r="C43" s="122"/>
      <c r="D43" s="123"/>
      <c r="E43" s="124"/>
      <c r="F43" s="61"/>
      <c r="G43" s="125"/>
      <c r="H43" s="126"/>
      <c r="I43" s="127"/>
      <c r="J43" s="124"/>
      <c r="K43" s="61"/>
    </row>
    <row r="44" spans="1:11" ht="19.5" customHeight="1">
      <c r="A44" s="61"/>
      <c r="B44" s="121"/>
      <c r="C44" s="122"/>
      <c r="D44" s="123"/>
      <c r="E44" s="124"/>
      <c r="F44" s="61"/>
      <c r="G44" s="125"/>
      <c r="H44" s="126"/>
      <c r="I44" s="127"/>
      <c r="J44" s="124"/>
      <c r="K44" s="61"/>
    </row>
    <row r="45" spans="1:11" ht="19.5" customHeight="1">
      <c r="A45" s="61"/>
      <c r="B45" s="121"/>
      <c r="C45" s="122"/>
      <c r="D45" s="123"/>
      <c r="E45" s="124"/>
      <c r="F45" s="61"/>
      <c r="G45" s="125"/>
      <c r="H45" s="126"/>
      <c r="I45" s="127"/>
      <c r="J45" s="124"/>
      <c r="K45" s="61"/>
    </row>
    <row r="46" spans="1:11" ht="19.5" customHeight="1">
      <c r="A46" s="61"/>
      <c r="B46" s="121"/>
      <c r="C46" s="122"/>
      <c r="D46" s="123"/>
      <c r="E46" s="124"/>
      <c r="F46" s="61"/>
      <c r="G46" s="125"/>
      <c r="H46" s="126"/>
      <c r="I46" s="127"/>
      <c r="J46" s="124"/>
      <c r="K46" s="61"/>
    </row>
    <row r="47" spans="1:11" ht="19.5" customHeight="1">
      <c r="A47" s="61"/>
      <c r="B47" s="121"/>
      <c r="C47" s="122"/>
      <c r="D47" s="123"/>
      <c r="E47" s="124"/>
      <c r="F47" s="61"/>
      <c r="G47" s="125"/>
      <c r="H47" s="126"/>
      <c r="I47" s="127"/>
      <c r="J47" s="124"/>
      <c r="K47" s="61"/>
    </row>
    <row r="48" spans="1:11" ht="19.5" customHeight="1">
      <c r="A48" s="61"/>
      <c r="B48" s="121"/>
      <c r="C48" s="122"/>
      <c r="D48" s="123"/>
      <c r="E48" s="124"/>
      <c r="F48" s="61"/>
      <c r="G48" s="125"/>
      <c r="H48" s="126"/>
      <c r="I48" s="127"/>
      <c r="J48" s="124"/>
      <c r="K48" s="61"/>
    </row>
    <row r="49" spans="1:11" ht="19.5" customHeight="1">
      <c r="A49" s="61"/>
      <c r="B49" s="121"/>
      <c r="C49" s="122"/>
      <c r="D49" s="123"/>
      <c r="E49" s="124"/>
      <c r="F49" s="61"/>
      <c r="G49" s="125"/>
      <c r="H49" s="126"/>
      <c r="I49" s="127"/>
      <c r="J49" s="124"/>
      <c r="K49" s="61"/>
    </row>
    <row r="50" spans="1:11" ht="19.5" customHeight="1">
      <c r="A50" s="61"/>
      <c r="B50" s="121"/>
      <c r="C50" s="122"/>
      <c r="D50" s="123"/>
      <c r="E50" s="124"/>
      <c r="F50" s="61"/>
      <c r="G50" s="125"/>
      <c r="H50" s="126"/>
      <c r="I50" s="127"/>
      <c r="J50" s="124"/>
      <c r="K50" s="61"/>
    </row>
    <row r="51" spans="1:11" ht="19.5" customHeight="1">
      <c r="A51" s="61"/>
      <c r="B51" s="121"/>
      <c r="C51" s="122"/>
      <c r="D51" s="123"/>
      <c r="E51" s="124"/>
      <c r="F51" s="61"/>
      <c r="G51" s="125"/>
      <c r="H51" s="126"/>
      <c r="I51" s="127"/>
      <c r="J51" s="124"/>
      <c r="K51" s="61"/>
    </row>
    <row r="52" spans="1:11" ht="19.5" customHeight="1">
      <c r="A52" s="61"/>
      <c r="B52" s="121"/>
      <c r="C52" s="122"/>
      <c r="D52" s="123"/>
      <c r="E52" s="124"/>
      <c r="F52" s="61"/>
      <c r="G52" s="125"/>
      <c r="H52" s="126"/>
      <c r="I52" s="127"/>
      <c r="J52" s="124"/>
      <c r="K52" s="61"/>
    </row>
    <row r="53" spans="1:11" ht="19.5" customHeight="1">
      <c r="A53" s="61"/>
      <c r="B53" s="121"/>
      <c r="C53" s="122"/>
      <c r="D53" s="123"/>
      <c r="E53" s="124"/>
      <c r="F53" s="61"/>
      <c r="G53" s="125"/>
      <c r="H53" s="126"/>
      <c r="I53" s="127"/>
      <c r="J53" s="124"/>
      <c r="K53" s="61"/>
    </row>
    <row r="54" spans="1:11" ht="19.5" customHeight="1">
      <c r="A54" s="61"/>
      <c r="B54" s="121"/>
      <c r="C54" s="122"/>
      <c r="D54" s="123"/>
      <c r="E54" s="124"/>
      <c r="F54" s="61"/>
      <c r="G54" s="125"/>
      <c r="H54" s="126"/>
      <c r="I54" s="127"/>
      <c r="J54" s="124"/>
      <c r="K54" s="61"/>
    </row>
    <row r="55" spans="1:11" ht="19.5" customHeight="1">
      <c r="A55" s="61"/>
      <c r="B55" s="121"/>
      <c r="C55" s="122"/>
      <c r="D55" s="123"/>
      <c r="E55" s="124"/>
      <c r="F55" s="61"/>
      <c r="G55" s="125"/>
      <c r="H55" s="126"/>
      <c r="I55" s="127"/>
      <c r="J55" s="124"/>
      <c r="K55" s="61"/>
    </row>
    <row r="56" spans="1:11" ht="19.5" customHeight="1">
      <c r="A56" s="61"/>
      <c r="B56" s="121"/>
      <c r="C56" s="122"/>
      <c r="D56" s="123"/>
      <c r="E56" s="124"/>
      <c r="F56" s="61"/>
      <c r="G56" s="125"/>
      <c r="H56" s="126"/>
      <c r="I56" s="127"/>
      <c r="J56" s="124"/>
      <c r="K56" s="61"/>
    </row>
    <row r="57" spans="1:11" ht="19.5" customHeight="1">
      <c r="A57" s="61"/>
      <c r="B57" s="121"/>
      <c r="C57" s="122"/>
      <c r="D57" s="123"/>
      <c r="E57" s="124"/>
      <c r="F57" s="61"/>
      <c r="G57" s="125"/>
      <c r="H57" s="126"/>
      <c r="I57" s="127"/>
      <c r="J57" s="124"/>
      <c r="K57" s="61"/>
    </row>
    <row r="58" spans="1:11" ht="19.5" customHeight="1">
      <c r="A58" s="61"/>
      <c r="B58" s="121"/>
      <c r="C58" s="122"/>
      <c r="D58" s="123"/>
      <c r="E58" s="124"/>
      <c r="F58" s="61"/>
      <c r="G58" s="125"/>
      <c r="H58" s="126"/>
      <c r="I58" s="127"/>
      <c r="J58" s="124"/>
      <c r="K58" s="61"/>
    </row>
    <row r="59" spans="1:11" ht="19.5" customHeight="1">
      <c r="A59" s="61"/>
      <c r="B59" s="121"/>
      <c r="C59" s="122"/>
      <c r="D59" s="123"/>
      <c r="E59" s="124"/>
      <c r="F59" s="61"/>
      <c r="G59" s="125"/>
      <c r="H59" s="126"/>
      <c r="I59" s="127"/>
      <c r="J59" s="124"/>
      <c r="K59" s="61"/>
    </row>
    <row r="60" spans="1:11" ht="19.5" customHeight="1">
      <c r="A60" s="61"/>
      <c r="B60" s="121"/>
      <c r="C60" s="122"/>
      <c r="D60" s="123"/>
      <c r="E60" s="124"/>
      <c r="F60" s="61"/>
      <c r="G60" s="125"/>
      <c r="H60" s="126"/>
      <c r="I60" s="127"/>
      <c r="J60" s="124"/>
      <c r="K60" s="61"/>
    </row>
    <row r="61" spans="1:11" ht="19.5" customHeight="1">
      <c r="A61" s="61"/>
      <c r="B61" s="121"/>
      <c r="C61" s="122"/>
      <c r="D61" s="123"/>
      <c r="E61" s="124"/>
      <c r="F61" s="61"/>
      <c r="G61" s="125"/>
      <c r="H61" s="126"/>
      <c r="I61" s="127"/>
      <c r="J61" s="124"/>
      <c r="K61" s="61"/>
    </row>
    <row r="62" spans="1:11" ht="19.5" customHeight="1">
      <c r="A62" s="61"/>
      <c r="B62" s="121"/>
      <c r="C62" s="122"/>
      <c r="D62" s="123"/>
      <c r="E62" s="124"/>
      <c r="F62" s="61"/>
      <c r="G62" s="125"/>
      <c r="H62" s="126"/>
      <c r="I62" s="127"/>
      <c r="J62" s="124"/>
      <c r="K62" s="61"/>
    </row>
    <row r="63" spans="1:11" ht="19.5" customHeight="1">
      <c r="A63" s="61"/>
      <c r="B63" s="121"/>
      <c r="C63" s="122"/>
      <c r="D63" s="123"/>
      <c r="E63" s="124"/>
      <c r="F63" s="61"/>
      <c r="G63" s="125"/>
      <c r="H63" s="126"/>
      <c r="I63" s="127"/>
      <c r="J63" s="124"/>
      <c r="K63" s="61"/>
    </row>
    <row r="64" spans="1:11" ht="19.5" customHeight="1">
      <c r="A64" s="61"/>
      <c r="B64" s="121"/>
      <c r="C64" s="122"/>
      <c r="D64" s="123"/>
      <c r="E64" s="124"/>
      <c r="F64" s="61"/>
      <c r="G64" s="125"/>
      <c r="H64" s="126"/>
      <c r="I64" s="127"/>
      <c r="J64" s="124"/>
      <c r="K64" s="61"/>
    </row>
    <row r="65" spans="1:11" ht="19.5" customHeight="1">
      <c r="A65" s="61"/>
      <c r="B65" s="121"/>
      <c r="C65" s="122"/>
      <c r="D65" s="123"/>
      <c r="E65" s="124"/>
      <c r="F65" s="61"/>
      <c r="G65" s="125"/>
      <c r="H65" s="126"/>
      <c r="I65" s="127"/>
      <c r="J65" s="124"/>
      <c r="K65" s="61"/>
    </row>
    <row r="66" spans="1:11" ht="19.5" customHeight="1">
      <c r="A66" s="61"/>
      <c r="B66" s="121"/>
      <c r="C66" s="122"/>
      <c r="D66" s="123"/>
      <c r="E66" s="124"/>
      <c r="F66" s="61"/>
      <c r="G66" s="125"/>
      <c r="H66" s="126"/>
      <c r="I66" s="127"/>
      <c r="J66" s="124"/>
      <c r="K66" s="61"/>
    </row>
    <row r="67" spans="1:11" ht="19.5" customHeight="1">
      <c r="A67" s="61"/>
      <c r="B67" s="121"/>
      <c r="C67" s="122"/>
      <c r="D67" s="123"/>
      <c r="E67" s="124"/>
      <c r="F67" s="61"/>
      <c r="G67" s="125"/>
      <c r="H67" s="126"/>
      <c r="I67" s="127"/>
      <c r="J67" s="124"/>
      <c r="K67" s="61"/>
    </row>
    <row r="68" spans="1:11" ht="19.5" customHeight="1">
      <c r="A68" s="61"/>
      <c r="B68" s="121"/>
      <c r="C68" s="122"/>
      <c r="D68" s="123"/>
      <c r="E68" s="124"/>
      <c r="F68" s="61"/>
      <c r="G68" s="125"/>
      <c r="H68" s="126"/>
      <c r="I68" s="127"/>
      <c r="J68" s="124"/>
      <c r="K68" s="61"/>
    </row>
    <row r="69" spans="1:11" ht="19.5" customHeight="1">
      <c r="A69" s="61"/>
      <c r="B69" s="121"/>
      <c r="C69" s="122"/>
      <c r="D69" s="123"/>
      <c r="E69" s="124"/>
      <c r="F69" s="61"/>
      <c r="G69" s="125"/>
      <c r="H69" s="126"/>
      <c r="I69" s="127"/>
      <c r="J69" s="124"/>
      <c r="K69" s="61"/>
    </row>
    <row r="70" spans="1:11" ht="19.5" customHeight="1">
      <c r="A70" s="61"/>
      <c r="B70" s="121"/>
      <c r="C70" s="122"/>
      <c r="D70" s="123"/>
      <c r="E70" s="124"/>
      <c r="F70" s="61"/>
      <c r="G70" s="125"/>
      <c r="H70" s="126"/>
      <c r="I70" s="127"/>
      <c r="J70" s="124"/>
      <c r="K70" s="61"/>
    </row>
    <row r="71" spans="1:11" ht="19.5" customHeight="1">
      <c r="A71" s="61"/>
      <c r="B71" s="121"/>
      <c r="C71" s="122"/>
      <c r="D71" s="123"/>
      <c r="E71" s="124"/>
      <c r="F71" s="61"/>
      <c r="G71" s="125"/>
      <c r="H71" s="126"/>
      <c r="I71" s="127"/>
      <c r="J71" s="124"/>
      <c r="K71" s="61"/>
    </row>
    <row r="72" spans="1:11" ht="19.5" customHeight="1">
      <c r="A72" s="61"/>
      <c r="B72" s="121"/>
      <c r="C72" s="122"/>
      <c r="D72" s="123"/>
      <c r="E72" s="124"/>
      <c r="F72" s="61"/>
      <c r="G72" s="125"/>
      <c r="H72" s="126"/>
      <c r="I72" s="127"/>
      <c r="J72" s="124"/>
      <c r="K72" s="61"/>
    </row>
    <row r="73" spans="1:11" ht="19.5" customHeight="1">
      <c r="A73" s="61"/>
      <c r="B73" s="121"/>
      <c r="C73" s="122"/>
      <c r="D73" s="123"/>
      <c r="E73" s="124"/>
      <c r="F73" s="61"/>
      <c r="G73" s="125"/>
      <c r="H73" s="126"/>
      <c r="I73" s="127"/>
      <c r="J73" s="124"/>
      <c r="K73" s="61"/>
    </row>
    <row r="74" spans="1:11" ht="19.5" customHeight="1">
      <c r="A74" s="61"/>
      <c r="B74" s="121"/>
      <c r="C74" s="122"/>
      <c r="D74" s="123"/>
      <c r="E74" s="124"/>
      <c r="F74" s="61"/>
      <c r="G74" s="125"/>
      <c r="H74" s="126"/>
      <c r="I74" s="127"/>
      <c r="J74" s="124"/>
      <c r="K74" s="61"/>
    </row>
    <row r="75" spans="1:11" ht="19.5" customHeight="1">
      <c r="A75" s="61"/>
      <c r="B75" s="121"/>
      <c r="C75" s="122"/>
      <c r="D75" s="123"/>
      <c r="E75" s="124"/>
      <c r="F75" s="61"/>
      <c r="G75" s="125"/>
      <c r="H75" s="126"/>
      <c r="I75" s="127"/>
      <c r="J75" s="124"/>
      <c r="K75" s="61"/>
    </row>
    <row r="76" spans="1:11" ht="19.5" customHeight="1">
      <c r="A76" s="61"/>
      <c r="B76" s="121"/>
      <c r="C76" s="122"/>
      <c r="D76" s="123"/>
      <c r="E76" s="124"/>
      <c r="F76" s="61"/>
      <c r="G76" s="125"/>
      <c r="H76" s="126"/>
      <c r="I76" s="127"/>
      <c r="J76" s="124"/>
      <c r="K76" s="61"/>
    </row>
    <row r="77" spans="1:11" ht="19.5" customHeight="1">
      <c r="A77" s="61"/>
      <c r="B77" s="121"/>
      <c r="C77" s="122"/>
      <c r="D77" s="123"/>
      <c r="E77" s="124"/>
      <c r="F77" s="61"/>
      <c r="G77" s="125"/>
      <c r="H77" s="126"/>
      <c r="I77" s="127"/>
      <c r="J77" s="124"/>
      <c r="K77" s="61"/>
    </row>
    <row r="78" spans="1:11" ht="19.5" customHeight="1">
      <c r="A78" s="61"/>
      <c r="B78" s="121"/>
      <c r="C78" s="122"/>
      <c r="D78" s="123"/>
      <c r="E78" s="124"/>
      <c r="F78" s="61"/>
      <c r="G78" s="125"/>
      <c r="H78" s="126"/>
      <c r="I78" s="127"/>
      <c r="J78" s="124"/>
      <c r="K78" s="61"/>
    </row>
    <row r="79" spans="1:11" ht="19.5" customHeight="1">
      <c r="A79" s="61"/>
      <c r="B79" s="121"/>
      <c r="C79" s="122"/>
      <c r="D79" s="123"/>
      <c r="E79" s="124"/>
      <c r="F79" s="61"/>
      <c r="G79" s="125"/>
      <c r="H79" s="126"/>
      <c r="I79" s="127"/>
      <c r="J79" s="124"/>
      <c r="K79" s="61"/>
    </row>
    <row r="80" spans="1:11" ht="19.5" customHeight="1">
      <c r="A80" s="61"/>
      <c r="B80" s="121"/>
      <c r="C80" s="122"/>
      <c r="D80" s="123"/>
      <c r="E80" s="124"/>
      <c r="F80" s="61"/>
      <c r="G80" s="125"/>
      <c r="H80" s="126"/>
      <c r="I80" s="127"/>
      <c r="J80" s="124"/>
      <c r="K80" s="61"/>
    </row>
    <row r="81" spans="1:11" ht="19.5" customHeight="1">
      <c r="A81" s="61"/>
      <c r="B81" s="121"/>
      <c r="C81" s="122"/>
      <c r="D81" s="123"/>
      <c r="E81" s="124"/>
      <c r="F81" s="61"/>
      <c r="G81" s="125"/>
      <c r="H81" s="126"/>
      <c r="I81" s="127"/>
      <c r="J81" s="124"/>
      <c r="K81" s="61"/>
    </row>
    <row r="82" spans="1:11" ht="19.5" customHeight="1">
      <c r="A82" s="61"/>
      <c r="B82" s="121"/>
      <c r="C82" s="122"/>
      <c r="D82" s="123"/>
      <c r="E82" s="124"/>
      <c r="F82" s="61"/>
      <c r="G82" s="125"/>
      <c r="H82" s="126"/>
      <c r="I82" s="127"/>
      <c r="J82" s="124"/>
      <c r="K82" s="61"/>
    </row>
    <row r="83" spans="1:11" ht="19.5" customHeight="1">
      <c r="A83" s="61"/>
      <c r="B83" s="121"/>
      <c r="C83" s="122"/>
      <c r="D83" s="123"/>
      <c r="E83" s="124"/>
      <c r="F83" s="61"/>
      <c r="G83" s="125"/>
      <c r="H83" s="126"/>
      <c r="I83" s="127"/>
      <c r="J83" s="124"/>
      <c r="K83" s="61"/>
    </row>
    <row r="84" spans="1:11" ht="19.5" customHeight="1">
      <c r="A84" s="61"/>
      <c r="B84" s="121"/>
      <c r="C84" s="122"/>
      <c r="D84" s="123"/>
      <c r="E84" s="124"/>
      <c r="F84" s="61"/>
      <c r="G84" s="125"/>
      <c r="H84" s="126"/>
      <c r="I84" s="127"/>
      <c r="J84" s="124"/>
      <c r="K84" s="61"/>
    </row>
    <row r="85" spans="1:11" ht="19.5" customHeight="1">
      <c r="A85" s="61"/>
      <c r="B85" s="121"/>
      <c r="C85" s="122"/>
      <c r="D85" s="123"/>
      <c r="E85" s="124"/>
      <c r="F85" s="61"/>
      <c r="G85" s="125"/>
      <c r="H85" s="126"/>
      <c r="I85" s="127"/>
      <c r="J85" s="124"/>
      <c r="K85" s="61"/>
    </row>
    <row r="86" spans="1:11" ht="19.5" customHeight="1">
      <c r="A86" s="61"/>
      <c r="B86" s="121"/>
      <c r="C86" s="122"/>
      <c r="D86" s="123"/>
      <c r="E86" s="124"/>
      <c r="F86" s="61"/>
      <c r="G86" s="125"/>
      <c r="H86" s="126"/>
      <c r="I86" s="127"/>
      <c r="J86" s="124"/>
      <c r="K86" s="61"/>
    </row>
    <row r="87" spans="1:11" ht="19.5" customHeight="1">
      <c r="A87" s="61"/>
      <c r="B87" s="121"/>
      <c r="C87" s="122"/>
      <c r="D87" s="123"/>
      <c r="E87" s="124"/>
      <c r="F87" s="61"/>
      <c r="G87" s="125"/>
      <c r="H87" s="126"/>
      <c r="I87" s="127"/>
      <c r="J87" s="124"/>
      <c r="K87" s="61"/>
    </row>
    <row r="88" spans="1:11" ht="19.5" customHeight="1">
      <c r="A88" s="61"/>
      <c r="B88" s="121"/>
      <c r="C88" s="122"/>
      <c r="D88" s="123"/>
      <c r="E88" s="124"/>
      <c r="F88" s="61"/>
      <c r="G88" s="125"/>
      <c r="H88" s="126"/>
      <c r="I88" s="127"/>
      <c r="J88" s="124"/>
      <c r="K88" s="61"/>
    </row>
    <row r="89" spans="1:11" ht="19.5" customHeight="1">
      <c r="A89" s="61"/>
      <c r="B89" s="121"/>
      <c r="C89" s="122"/>
      <c r="D89" s="123"/>
      <c r="E89" s="124"/>
      <c r="F89" s="61"/>
      <c r="G89" s="125"/>
      <c r="H89" s="126"/>
      <c r="I89" s="127"/>
      <c r="J89" s="124"/>
      <c r="K89" s="61"/>
    </row>
    <row r="90" spans="1:11" ht="19.5" customHeight="1">
      <c r="A90" s="61"/>
      <c r="B90" s="121"/>
      <c r="C90" s="122"/>
      <c r="D90" s="123"/>
      <c r="E90" s="124"/>
      <c r="F90" s="61"/>
      <c r="G90" s="125"/>
      <c r="H90" s="126"/>
      <c r="I90" s="127"/>
      <c r="J90" s="124"/>
      <c r="K90" s="61"/>
    </row>
    <row r="91" spans="1:11" ht="19.5" customHeight="1">
      <c r="A91" s="61"/>
      <c r="B91" s="121"/>
      <c r="C91" s="122"/>
      <c r="D91" s="123"/>
      <c r="E91" s="124"/>
      <c r="F91" s="61"/>
      <c r="G91" s="125"/>
      <c r="H91" s="126"/>
      <c r="I91" s="127"/>
      <c r="J91" s="124"/>
      <c r="K91" s="61"/>
    </row>
    <row r="92" spans="1:11" ht="19.5" customHeight="1">
      <c r="A92" s="61"/>
      <c r="B92" s="121"/>
      <c r="C92" s="122"/>
      <c r="D92" s="123"/>
      <c r="E92" s="124"/>
      <c r="F92" s="61"/>
      <c r="G92" s="125"/>
      <c r="H92" s="126"/>
      <c r="I92" s="127"/>
      <c r="J92" s="124"/>
      <c r="K92" s="61"/>
    </row>
    <row r="93" spans="1:11" ht="19.5" customHeight="1">
      <c r="A93" s="61"/>
      <c r="B93" s="121"/>
      <c r="C93" s="122"/>
      <c r="D93" s="123"/>
      <c r="E93" s="124"/>
      <c r="F93" s="61"/>
      <c r="G93" s="125"/>
      <c r="H93" s="126"/>
      <c r="I93" s="127"/>
      <c r="J93" s="124"/>
      <c r="K93" s="61"/>
    </row>
    <row r="94" spans="1:11" ht="19.5" customHeight="1">
      <c r="A94" s="61"/>
      <c r="B94" s="121"/>
      <c r="C94" s="122"/>
      <c r="D94" s="123"/>
      <c r="E94" s="124"/>
      <c r="F94" s="61"/>
      <c r="G94" s="125"/>
      <c r="H94" s="126"/>
      <c r="I94" s="127"/>
      <c r="J94" s="124"/>
      <c r="K94" s="61"/>
    </row>
    <row r="95" spans="1:11" ht="19.5" customHeight="1">
      <c r="A95" s="61"/>
      <c r="B95" s="121"/>
      <c r="C95" s="122"/>
      <c r="D95" s="123"/>
      <c r="E95" s="124"/>
      <c r="F95" s="61"/>
      <c r="G95" s="125"/>
      <c r="H95" s="126"/>
      <c r="I95" s="127"/>
      <c r="J95" s="124"/>
      <c r="K95" s="61"/>
    </row>
    <row r="96" spans="1:11" ht="19.5" customHeight="1">
      <c r="A96" s="61"/>
      <c r="B96" s="121"/>
      <c r="C96" s="122"/>
      <c r="D96" s="123"/>
      <c r="E96" s="124"/>
      <c r="F96" s="61"/>
      <c r="G96" s="125"/>
      <c r="H96" s="126"/>
      <c r="I96" s="127"/>
      <c r="J96" s="124"/>
      <c r="K96" s="61"/>
    </row>
    <row r="97" spans="1:11" ht="19.5" customHeight="1">
      <c r="A97" s="61"/>
      <c r="B97" s="121"/>
      <c r="C97" s="122"/>
      <c r="D97" s="123"/>
      <c r="E97" s="124"/>
      <c r="F97" s="61"/>
      <c r="G97" s="125"/>
      <c r="H97" s="126"/>
      <c r="I97" s="127"/>
      <c r="J97" s="124"/>
      <c r="K97" s="61"/>
    </row>
    <row r="98" spans="1:11" ht="19.5" customHeight="1">
      <c r="A98" s="61"/>
      <c r="B98" s="121"/>
      <c r="C98" s="122"/>
      <c r="D98" s="123"/>
      <c r="E98" s="124"/>
      <c r="F98" s="61"/>
      <c r="G98" s="125"/>
      <c r="H98" s="126"/>
      <c r="I98" s="127"/>
      <c r="J98" s="124"/>
      <c r="K98" s="61"/>
    </row>
    <row r="99" spans="1:11" ht="19.5" customHeight="1">
      <c r="A99" s="61"/>
      <c r="B99" s="121"/>
      <c r="C99" s="122"/>
      <c r="D99" s="123"/>
      <c r="E99" s="124"/>
      <c r="F99" s="61"/>
      <c r="G99" s="125"/>
      <c r="H99" s="126"/>
      <c r="I99" s="127"/>
      <c r="J99" s="124"/>
      <c r="K99" s="61"/>
    </row>
    <row r="100" spans="1:11" ht="19.5" customHeight="1">
      <c r="A100" s="61"/>
      <c r="B100" s="121"/>
      <c r="C100" s="122"/>
      <c r="D100" s="123"/>
      <c r="E100" s="124"/>
      <c r="F100" s="61"/>
      <c r="G100" s="125"/>
      <c r="H100" s="126"/>
      <c r="I100" s="127"/>
      <c r="J100" s="124"/>
      <c r="K100" s="61"/>
    </row>
    <row r="101" spans="1:11" ht="19.5" customHeight="1">
      <c r="A101" s="61"/>
      <c r="B101" s="121"/>
      <c r="C101" s="122"/>
      <c r="D101" s="123"/>
      <c r="E101" s="124"/>
      <c r="F101" s="61"/>
      <c r="G101" s="125"/>
      <c r="H101" s="126"/>
      <c r="I101" s="127"/>
      <c r="J101" s="124"/>
      <c r="K101" s="61"/>
    </row>
    <row r="102" spans="1:11" ht="19.5" customHeight="1">
      <c r="A102" s="61"/>
      <c r="B102" s="121"/>
      <c r="C102" s="122"/>
      <c r="D102" s="123"/>
      <c r="E102" s="124"/>
      <c r="F102" s="61"/>
      <c r="G102" s="125"/>
      <c r="H102" s="126"/>
      <c r="I102" s="127"/>
      <c r="J102" s="124"/>
      <c r="K102" s="61"/>
    </row>
    <row r="103" spans="1:11" ht="19.5" customHeight="1">
      <c r="A103" s="61"/>
      <c r="B103" s="121"/>
      <c r="C103" s="122"/>
      <c r="D103" s="123"/>
      <c r="E103" s="124"/>
      <c r="F103" s="61"/>
      <c r="G103" s="125"/>
      <c r="H103" s="126"/>
      <c r="I103" s="127"/>
      <c r="J103" s="124"/>
      <c r="K103" s="61"/>
    </row>
    <row r="104" spans="1:11" ht="19.5" customHeight="1">
      <c r="A104" s="61"/>
      <c r="B104" s="121"/>
      <c r="C104" s="122"/>
      <c r="D104" s="123"/>
      <c r="E104" s="124"/>
      <c r="F104" s="61"/>
      <c r="G104" s="125"/>
      <c r="H104" s="126"/>
      <c r="I104" s="127"/>
      <c r="J104" s="124"/>
      <c r="K104" s="61"/>
    </row>
    <row r="105" spans="1:11" ht="19.5" customHeight="1">
      <c r="A105" s="61"/>
      <c r="B105" s="121"/>
      <c r="C105" s="122"/>
      <c r="D105" s="123"/>
      <c r="E105" s="124"/>
      <c r="F105" s="61"/>
      <c r="G105" s="125"/>
      <c r="H105" s="126"/>
      <c r="I105" s="127"/>
      <c r="J105" s="124"/>
      <c r="K105" s="61"/>
    </row>
    <row r="106" spans="1:11" ht="19.5" customHeight="1">
      <c r="A106" s="61"/>
      <c r="B106" s="121"/>
      <c r="C106" s="122"/>
      <c r="D106" s="123"/>
      <c r="E106" s="124"/>
      <c r="F106" s="61"/>
      <c r="G106" s="125"/>
      <c r="H106" s="126"/>
      <c r="I106" s="127"/>
      <c r="J106" s="124"/>
      <c r="K106" s="61"/>
    </row>
    <row r="107" spans="1:11" ht="19.5" customHeight="1">
      <c r="A107" s="61"/>
      <c r="B107" s="121"/>
      <c r="C107" s="122"/>
      <c r="D107" s="123"/>
      <c r="E107" s="124"/>
      <c r="F107" s="61"/>
      <c r="G107" s="125"/>
      <c r="H107" s="126"/>
      <c r="I107" s="127"/>
      <c r="J107" s="124"/>
      <c r="K107" s="61"/>
    </row>
    <row r="108" spans="1:11" ht="19.5" customHeight="1">
      <c r="A108" s="61"/>
      <c r="B108" s="121"/>
      <c r="C108" s="122"/>
      <c r="D108" s="123"/>
      <c r="E108" s="124"/>
      <c r="F108" s="61"/>
      <c r="G108" s="125"/>
      <c r="H108" s="126"/>
      <c r="I108" s="127"/>
      <c r="J108" s="124"/>
      <c r="K108" s="61"/>
    </row>
    <row r="109" spans="1:11" ht="19.5" customHeight="1">
      <c r="A109" s="61"/>
      <c r="B109" s="121"/>
      <c r="C109" s="122"/>
      <c r="D109" s="123"/>
      <c r="E109" s="124"/>
      <c r="F109" s="61"/>
      <c r="G109" s="125"/>
      <c r="H109" s="126"/>
      <c r="I109" s="127"/>
      <c r="J109" s="124"/>
      <c r="K109" s="61"/>
    </row>
    <row r="110" spans="1:11" ht="19.5" customHeight="1">
      <c r="A110" s="61"/>
      <c r="B110" s="121"/>
      <c r="C110" s="122"/>
      <c r="D110" s="123"/>
      <c r="E110" s="124"/>
      <c r="F110" s="61"/>
      <c r="G110" s="125"/>
      <c r="H110" s="126"/>
      <c r="I110" s="127"/>
      <c r="J110" s="124"/>
      <c r="K110" s="61"/>
    </row>
    <row r="111" spans="1:11" ht="19.5" customHeight="1">
      <c r="A111" s="61"/>
      <c r="B111" s="121"/>
      <c r="C111" s="122"/>
      <c r="D111" s="123"/>
      <c r="E111" s="124"/>
      <c r="F111" s="61"/>
      <c r="G111" s="125"/>
      <c r="H111" s="126"/>
      <c r="I111" s="127"/>
      <c r="J111" s="124"/>
      <c r="K111" s="61"/>
    </row>
    <row r="112" spans="1:11" ht="19.5" customHeight="1">
      <c r="A112" s="61"/>
      <c r="B112" s="121"/>
      <c r="C112" s="122"/>
      <c r="D112" s="123"/>
      <c r="E112" s="124"/>
      <c r="F112" s="61"/>
      <c r="G112" s="125"/>
      <c r="H112" s="126"/>
      <c r="I112" s="127"/>
      <c r="J112" s="124"/>
      <c r="K112" s="61"/>
    </row>
    <row r="113" spans="1:11" ht="19.5" customHeight="1">
      <c r="A113" s="61"/>
      <c r="B113" s="121"/>
      <c r="C113" s="122"/>
      <c r="D113" s="123"/>
      <c r="E113" s="124"/>
      <c r="F113" s="61"/>
      <c r="G113" s="125"/>
      <c r="H113" s="126"/>
      <c r="I113" s="127"/>
      <c r="J113" s="124"/>
      <c r="K113" s="61"/>
    </row>
    <row r="114" spans="1:11" ht="19.5" customHeight="1">
      <c r="A114" s="61"/>
      <c r="B114" s="121"/>
      <c r="C114" s="122"/>
      <c r="D114" s="123"/>
      <c r="E114" s="124"/>
      <c r="F114" s="61"/>
      <c r="G114" s="125"/>
      <c r="H114" s="126"/>
      <c r="I114" s="127"/>
      <c r="J114" s="124"/>
      <c r="K114" s="61"/>
    </row>
    <row r="115" spans="1:11" ht="19.5" customHeight="1">
      <c r="A115" s="61"/>
      <c r="B115" s="121"/>
      <c r="C115" s="122"/>
      <c r="D115" s="123"/>
      <c r="E115" s="124"/>
      <c r="F115" s="61"/>
      <c r="G115" s="125"/>
      <c r="H115" s="126"/>
      <c r="I115" s="127"/>
      <c r="J115" s="124"/>
      <c r="K115" s="61"/>
    </row>
    <row r="116" spans="1:11" ht="19.5" customHeight="1">
      <c r="A116" s="61"/>
      <c r="B116" s="121"/>
      <c r="C116" s="122"/>
      <c r="D116" s="123"/>
      <c r="E116" s="124"/>
      <c r="F116" s="61"/>
      <c r="G116" s="125"/>
      <c r="H116" s="126"/>
      <c r="I116" s="127"/>
      <c r="J116" s="124"/>
      <c r="K116" s="61"/>
    </row>
    <row r="117" spans="1:11" ht="19.5" customHeight="1">
      <c r="A117" s="61"/>
      <c r="B117" s="121"/>
      <c r="C117" s="122"/>
      <c r="D117" s="123"/>
      <c r="E117" s="124"/>
      <c r="F117" s="61"/>
      <c r="G117" s="125"/>
      <c r="H117" s="126"/>
      <c r="I117" s="127"/>
      <c r="J117" s="124"/>
      <c r="K117" s="61"/>
    </row>
    <row r="118" spans="1:11" ht="19.5" customHeight="1">
      <c r="A118" s="61"/>
      <c r="B118" s="121"/>
      <c r="C118" s="122"/>
      <c r="D118" s="123"/>
      <c r="E118" s="124"/>
      <c r="F118" s="61"/>
      <c r="G118" s="125"/>
      <c r="H118" s="126"/>
      <c r="I118" s="127"/>
      <c r="J118" s="124"/>
      <c r="K118" s="61"/>
    </row>
    <row r="119" spans="1:11" ht="19.5" customHeight="1">
      <c r="A119" s="61"/>
      <c r="B119" s="121"/>
      <c r="C119" s="122"/>
      <c r="D119" s="123"/>
      <c r="E119" s="124"/>
      <c r="F119" s="61"/>
      <c r="G119" s="125"/>
      <c r="H119" s="126"/>
      <c r="I119" s="127"/>
      <c r="J119" s="124"/>
      <c r="K119" s="61"/>
    </row>
    <row r="120" spans="1:11" ht="19.5" customHeight="1">
      <c r="A120" s="61"/>
      <c r="B120" s="121"/>
      <c r="C120" s="122"/>
      <c r="D120" s="123"/>
      <c r="E120" s="124"/>
      <c r="F120" s="61"/>
      <c r="G120" s="125"/>
      <c r="H120" s="126"/>
      <c r="I120" s="127"/>
      <c r="J120" s="124"/>
      <c r="K120" s="61"/>
    </row>
    <row r="121" spans="1:11" ht="19.5" customHeight="1">
      <c r="A121" s="61"/>
      <c r="B121" s="121"/>
      <c r="C121" s="122"/>
      <c r="D121" s="123"/>
      <c r="E121" s="124"/>
      <c r="F121" s="61"/>
      <c r="G121" s="125"/>
      <c r="H121" s="126"/>
      <c r="I121" s="127"/>
      <c r="J121" s="124"/>
      <c r="K121" s="61"/>
    </row>
    <row r="122" spans="1:11" ht="19.5" customHeight="1">
      <c r="A122" s="61"/>
      <c r="B122" s="121"/>
      <c r="C122" s="122"/>
      <c r="D122" s="123"/>
      <c r="E122" s="124"/>
      <c r="F122" s="61"/>
      <c r="G122" s="125"/>
      <c r="H122" s="126"/>
      <c r="I122" s="127"/>
      <c r="J122" s="124"/>
      <c r="K122" s="61"/>
    </row>
    <row r="123" spans="1:11" ht="19.5" customHeight="1">
      <c r="A123" s="61"/>
      <c r="B123" s="121"/>
      <c r="C123" s="122"/>
      <c r="D123" s="123"/>
      <c r="E123" s="124"/>
      <c r="F123" s="61"/>
      <c r="G123" s="125"/>
      <c r="H123" s="126"/>
      <c r="I123" s="127"/>
      <c r="J123" s="124"/>
      <c r="K123" s="61"/>
    </row>
    <row r="124" spans="1:11" ht="19.5" customHeight="1">
      <c r="A124" s="61"/>
      <c r="B124" s="121"/>
      <c r="C124" s="122"/>
      <c r="D124" s="123"/>
      <c r="E124" s="124"/>
      <c r="F124" s="61"/>
      <c r="G124" s="125"/>
      <c r="H124" s="126"/>
      <c r="I124" s="127"/>
      <c r="J124" s="124"/>
      <c r="K124" s="61"/>
    </row>
    <row r="125" spans="1:11" ht="19.5" customHeight="1">
      <c r="A125" s="61"/>
      <c r="B125" s="121"/>
      <c r="C125" s="122"/>
      <c r="D125" s="123"/>
      <c r="E125" s="124"/>
      <c r="F125" s="61"/>
      <c r="G125" s="125"/>
      <c r="H125" s="126"/>
      <c r="I125" s="127"/>
      <c r="J125" s="124"/>
      <c r="K125" s="61"/>
    </row>
    <row r="126" spans="1:11" ht="19.5" customHeight="1">
      <c r="A126" s="61"/>
      <c r="B126" s="121"/>
      <c r="C126" s="122"/>
      <c r="D126" s="123"/>
      <c r="E126" s="124"/>
      <c r="F126" s="61"/>
      <c r="G126" s="125"/>
      <c r="H126" s="126"/>
      <c r="I126" s="127"/>
      <c r="J126" s="124"/>
      <c r="K126" s="61"/>
    </row>
    <row r="127" spans="1:11" ht="19.5" customHeight="1">
      <c r="A127" s="61"/>
      <c r="B127" s="121"/>
      <c r="C127" s="122"/>
      <c r="D127" s="123"/>
      <c r="E127" s="124"/>
      <c r="F127" s="61"/>
      <c r="G127" s="125"/>
      <c r="H127" s="126"/>
      <c r="I127" s="127"/>
      <c r="J127" s="124"/>
      <c r="K127" s="61"/>
    </row>
    <row r="128" spans="1:11" ht="19.5" customHeight="1">
      <c r="A128" s="61"/>
      <c r="B128" s="121"/>
      <c r="C128" s="122"/>
      <c r="D128" s="123"/>
      <c r="E128" s="124"/>
      <c r="F128" s="61"/>
      <c r="G128" s="125"/>
      <c r="H128" s="126"/>
      <c r="I128" s="127"/>
      <c r="J128" s="124"/>
      <c r="K128" s="61"/>
    </row>
    <row r="129" spans="1:11" ht="19.5" customHeight="1">
      <c r="A129" s="61"/>
      <c r="B129" s="121"/>
      <c r="C129" s="122"/>
      <c r="D129" s="123"/>
      <c r="E129" s="124"/>
      <c r="F129" s="61"/>
      <c r="G129" s="125"/>
      <c r="H129" s="126"/>
      <c r="I129" s="127"/>
      <c r="J129" s="124"/>
      <c r="K129" s="61"/>
    </row>
    <row r="130" spans="1:11" ht="19.5" customHeight="1">
      <c r="A130" s="61"/>
      <c r="B130" s="121"/>
      <c r="C130" s="122"/>
      <c r="D130" s="123"/>
      <c r="E130" s="124"/>
      <c r="F130" s="61"/>
      <c r="G130" s="125"/>
      <c r="H130" s="126"/>
      <c r="I130" s="127"/>
      <c r="J130" s="124"/>
      <c r="K130" s="61"/>
    </row>
    <row r="131" spans="1:11" ht="19.5" customHeight="1">
      <c r="A131" s="61"/>
      <c r="B131" s="121"/>
      <c r="C131" s="122"/>
      <c r="D131" s="123"/>
      <c r="E131" s="124"/>
      <c r="F131" s="61"/>
      <c r="G131" s="125"/>
      <c r="H131" s="126"/>
      <c r="I131" s="127"/>
      <c r="J131" s="124"/>
      <c r="K131" s="61"/>
    </row>
    <row r="132" spans="1:11" ht="19.5" customHeight="1">
      <c r="A132" s="61"/>
      <c r="B132" s="121"/>
      <c r="C132" s="122"/>
      <c r="D132" s="123"/>
      <c r="E132" s="124"/>
      <c r="F132" s="61"/>
      <c r="G132" s="125"/>
      <c r="H132" s="126"/>
      <c r="I132" s="127"/>
      <c r="J132" s="124"/>
      <c r="K132" s="61"/>
    </row>
    <row r="133" spans="1:11" ht="19.5" customHeight="1">
      <c r="A133" s="61"/>
      <c r="B133" s="121"/>
      <c r="C133" s="122"/>
      <c r="D133" s="123"/>
      <c r="E133" s="124"/>
      <c r="F133" s="61"/>
      <c r="G133" s="125"/>
      <c r="H133" s="126"/>
      <c r="I133" s="127"/>
      <c r="J133" s="124"/>
      <c r="K133" s="61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Récapitulatif!$B$27:$C$44</xm:f>
          </x14:formula1>
          <xm:sqref>E5:E133</xm:sqref>
        </x14:dataValidation>
        <x14:dataValidation type="list" allowBlank="1" xr:uid="{00000000-0002-0000-0100-000001000000}">
          <x14:formula1>
            <xm:f>Récapitulatif!$H$27:$I$44</xm:f>
          </x14:formula1>
          <xm:sqref>J5:J133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Récapitulatif</vt:lpstr>
      <vt:lpstr>Transactions</vt:lpstr>
      <vt:lpstr>StartingBalance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Hugues Du Moulinet D'Hardemare (Student at CentraleSup</cp:lastModifiedBy>
  <dcterms:modified xsi:type="dcterms:W3CDTF">2026-02-27T13:59:31Z</dcterms:modified>
</cp:coreProperties>
</file>